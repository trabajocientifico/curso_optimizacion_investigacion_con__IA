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Diccionario" sheetId="2" r:id="rId5"/>
  </sheets>
  <definedNames>
    <definedName hidden="1" localSheetId="0" name="_xlnm._FilterDatabase">Ventas!$A$1:$T$221</definedName>
  </definedNames>
  <calcPr/>
  <extLst>
    <ext uri="GoogleSheetsCustomDataVersion2">
      <go:sheetsCustomData xmlns:go="http://customooxmlschemas.google.com/" r:id="rId6" roundtripDataChecksum="oJpGuBmpupBMOQbgDKUD6X3Xi83OvlljVj6CZMElrS8="/>
    </ext>
  </extLst>
</workbook>
</file>

<file path=xl/sharedStrings.xml><?xml version="1.0" encoding="utf-8"?>
<sst xmlns="http://schemas.openxmlformats.org/spreadsheetml/2006/main" count="1598" uniqueCount="301">
  <si>
    <t>ID Venta</t>
  </si>
  <si>
    <t>Fecha</t>
  </si>
  <si>
    <t>Departamento</t>
  </si>
  <si>
    <t>Ciudad</t>
  </si>
  <si>
    <t>Producto</t>
  </si>
  <si>
    <t>Categoría</t>
  </si>
  <si>
    <t>Canal</t>
  </si>
  <si>
    <t>Vendedor</t>
  </si>
  <si>
    <t>Cantidad (ton)</t>
  </si>
  <si>
    <t>Precio Unitario (COP/ton)</t>
  </si>
  <si>
    <t>Costo Unitario (COP/ton)</t>
  </si>
  <si>
    <t>Satisfacción (1-5)</t>
  </si>
  <si>
    <t>Latitud</t>
  </si>
  <si>
    <t>Longitud</t>
  </si>
  <si>
    <t>Ventas Totales (COP)</t>
  </si>
  <si>
    <t>Costo Total (COP)</t>
  </si>
  <si>
    <t>Utilidad (COP)</t>
  </si>
  <si>
    <t>Margen (%)</t>
  </si>
  <si>
    <t>Mes</t>
  </si>
  <si>
    <t>Trimestre</t>
  </si>
  <si>
    <t>VTA-0018</t>
  </si>
  <si>
    <t>Vichada</t>
  </si>
  <si>
    <t>Puerto Carreño</t>
  </si>
  <si>
    <t>Leche</t>
  </si>
  <si>
    <t>Pecuario</t>
  </si>
  <si>
    <t>Exportación</t>
  </si>
  <si>
    <t>Camila Rojas</t>
  </si>
  <si>
    <t>VTA-0030</t>
  </si>
  <si>
    <t>Café</t>
  </si>
  <si>
    <t>Cultivos perm.</t>
  </si>
  <si>
    <t>Laura Méndez</t>
  </si>
  <si>
    <t>VTA-0157</t>
  </si>
  <si>
    <t>Antioquia</t>
  </si>
  <si>
    <t>Medellín</t>
  </si>
  <si>
    <t>Soya</t>
  </si>
  <si>
    <t>Oleaginosas</t>
  </si>
  <si>
    <t>Minorista</t>
  </si>
  <si>
    <t>Diana Pérez</t>
  </si>
  <si>
    <t>VTA-0015</t>
  </si>
  <si>
    <t>Tolima</t>
  </si>
  <si>
    <t>Ibagué</t>
  </si>
  <si>
    <t>Maíz</t>
  </si>
  <si>
    <t>Cereales</t>
  </si>
  <si>
    <t>Agroindustria</t>
  </si>
  <si>
    <t>VTA-0078</t>
  </si>
  <si>
    <t>VTA-0156</t>
  </si>
  <si>
    <t>Cooperativa</t>
  </si>
  <si>
    <t>VTA-0209</t>
  </si>
  <si>
    <t>Casanare</t>
  </si>
  <si>
    <t>Yopal</t>
  </si>
  <si>
    <t>VTA-0043</t>
  </si>
  <si>
    <t>Cundinamarca</t>
  </si>
  <si>
    <t>Bogotá</t>
  </si>
  <si>
    <t>Cacao</t>
  </si>
  <si>
    <t>Andrés Gómez</t>
  </si>
  <si>
    <t>VTA-0119</t>
  </si>
  <si>
    <t>Meta</t>
  </si>
  <si>
    <t>Villavicencio</t>
  </si>
  <si>
    <t>Mateo Salazar</t>
  </si>
  <si>
    <t>VTA-0136</t>
  </si>
  <si>
    <t>Arauca</t>
  </si>
  <si>
    <t>Plátano</t>
  </si>
  <si>
    <t>Frutas</t>
  </si>
  <si>
    <t>Mayorista</t>
  </si>
  <si>
    <t>VTA-0073</t>
  </si>
  <si>
    <t>Arroz</t>
  </si>
  <si>
    <t>VTA-0146</t>
  </si>
  <si>
    <t>Carne bovina</t>
  </si>
  <si>
    <t>VTA-0141</t>
  </si>
  <si>
    <t>VTA-0041</t>
  </si>
  <si>
    <t>VTA-0154</t>
  </si>
  <si>
    <t>VTA-0026</t>
  </si>
  <si>
    <t>VTA-0162</t>
  </si>
  <si>
    <t>VTA-0172</t>
  </si>
  <si>
    <t>VTA-0094</t>
  </si>
  <si>
    <t>VTA-0153</t>
  </si>
  <si>
    <t>VTA-0066</t>
  </si>
  <si>
    <t>Palma de aceite</t>
  </si>
  <si>
    <t>Julián Castro</t>
  </si>
  <si>
    <t>VTA-0217</t>
  </si>
  <si>
    <t>VTA-0207</t>
  </si>
  <si>
    <t>VTA-0173</t>
  </si>
  <si>
    <t>VTA-0070</t>
  </si>
  <si>
    <t>VTA-0159</t>
  </si>
  <si>
    <t>VTA-0216</t>
  </si>
  <si>
    <t>VTA-0002</t>
  </si>
  <si>
    <t>VTA-0213</t>
  </si>
  <si>
    <t>VTA-0103</t>
  </si>
  <si>
    <t>Cítricos</t>
  </si>
  <si>
    <t>VTA-0152</t>
  </si>
  <si>
    <t>VTA-0158</t>
  </si>
  <si>
    <t>VTA-0189</t>
  </si>
  <si>
    <t>VTA-0181</t>
  </si>
  <si>
    <t>VTA-0178</t>
  </si>
  <si>
    <t>VTA-0005</t>
  </si>
  <si>
    <t>VTA-0129</t>
  </si>
  <si>
    <t>VTA-0028</t>
  </si>
  <si>
    <t>VTA-0090</t>
  </si>
  <si>
    <t>VTA-0205</t>
  </si>
  <si>
    <t>VTA-0161</t>
  </si>
  <si>
    <t>VTA-0001</t>
  </si>
  <si>
    <t>VTA-0105</t>
  </si>
  <si>
    <t>VTA-0034</t>
  </si>
  <si>
    <t>VTA-0163</t>
  </si>
  <si>
    <t>VTA-0077</t>
  </si>
  <si>
    <t>VTA-0006</t>
  </si>
  <si>
    <t>VTA-0099</t>
  </si>
  <si>
    <t>VTA-0020</t>
  </si>
  <si>
    <t>VTA-0089</t>
  </si>
  <si>
    <t>VTA-0148</t>
  </si>
  <si>
    <t>VTA-0180</t>
  </si>
  <si>
    <t>VTA-0107</t>
  </si>
  <si>
    <t>VTA-0098</t>
  </si>
  <si>
    <t>VTA-0012</t>
  </si>
  <si>
    <t>VTA-0123</t>
  </si>
  <si>
    <t>VTA-0195</t>
  </si>
  <si>
    <t>VTA-0191</t>
  </si>
  <si>
    <t>VTA-0179</t>
  </si>
  <si>
    <t>VTA-0092</t>
  </si>
  <si>
    <t>VTA-0079</t>
  </si>
  <si>
    <t>VTA-0045</t>
  </si>
  <si>
    <t>VTA-0016</t>
  </si>
  <si>
    <t>VTA-0038</t>
  </si>
  <si>
    <t>VTA-0214</t>
  </si>
  <si>
    <t>VTA-0108</t>
  </si>
  <si>
    <t>VTA-0014</t>
  </si>
  <si>
    <t>VTA-0042</t>
  </si>
  <si>
    <t>VTA-0219</t>
  </si>
  <si>
    <t>VTA-0075</t>
  </si>
  <si>
    <t>VTA-0069</t>
  </si>
  <si>
    <t>VTA-0184</t>
  </si>
  <si>
    <t>VTA-0029</t>
  </si>
  <si>
    <t>VTA-0009</t>
  </si>
  <si>
    <t>VTA-0170</t>
  </si>
  <si>
    <t>VTA-0122</t>
  </si>
  <si>
    <t>VTA-0218</t>
  </si>
  <si>
    <t>VTA-0106</t>
  </si>
  <si>
    <t>VTA-0114</t>
  </si>
  <si>
    <t>VTA-0051</t>
  </si>
  <si>
    <t>VTA-0007</t>
  </si>
  <si>
    <t>VTA-0003</t>
  </si>
  <si>
    <t>VTA-0047</t>
  </si>
  <si>
    <t>VTA-0187</t>
  </si>
  <si>
    <t>VTA-0011</t>
  </si>
  <si>
    <t>VTA-0021</t>
  </si>
  <si>
    <t>VTA-0037</t>
  </si>
  <si>
    <t>VTA-0056</t>
  </si>
  <si>
    <t>VTA-0150</t>
  </si>
  <si>
    <t>VTA-0074</t>
  </si>
  <si>
    <t>VTA-0010</t>
  </si>
  <si>
    <t>VTA-0023</t>
  </si>
  <si>
    <t>VTA-0068</t>
  </si>
  <si>
    <t>VTA-0135</t>
  </si>
  <si>
    <t>VTA-0155</t>
  </si>
  <si>
    <t>VTA-0093</t>
  </si>
  <si>
    <t>VTA-0101</t>
  </si>
  <si>
    <t>VTA-0128</t>
  </si>
  <si>
    <t>VTA-0142</t>
  </si>
  <si>
    <t>VTA-0169</t>
  </si>
  <si>
    <t>VTA-0019</t>
  </si>
  <si>
    <t>VTA-0095</t>
  </si>
  <si>
    <t>VTA-0084</t>
  </si>
  <si>
    <t>VTA-0085</t>
  </si>
  <si>
    <t>VTA-0058</t>
  </si>
  <si>
    <t>VTA-0125</t>
  </si>
  <si>
    <t>VTA-0143</t>
  </si>
  <si>
    <t>VTA-0220</t>
  </si>
  <si>
    <t>VTA-0091</t>
  </si>
  <si>
    <t>VTA-0063</t>
  </si>
  <si>
    <t>VTA-0097</t>
  </si>
  <si>
    <t>VTA-0112</t>
  </si>
  <si>
    <t>VTA-0204</t>
  </si>
  <si>
    <t>VTA-0127</t>
  </si>
  <si>
    <t>VTA-0083</t>
  </si>
  <si>
    <t>VTA-0140</t>
  </si>
  <si>
    <t>VTA-0008</t>
  </si>
  <si>
    <t>VTA-0048</t>
  </si>
  <si>
    <t>VTA-0081</t>
  </si>
  <si>
    <t>VTA-0040</t>
  </si>
  <si>
    <t>VTA-0185</t>
  </si>
  <si>
    <t>VTA-0064</t>
  </si>
  <si>
    <t>VTA-0212</t>
  </si>
  <si>
    <t>VTA-0124</t>
  </si>
  <si>
    <t>VTA-0096</t>
  </si>
  <si>
    <t>VTA-0149</t>
  </si>
  <si>
    <t>VTA-0039</t>
  </si>
  <si>
    <t>VTA-0036</t>
  </si>
  <si>
    <t>VTA-0055</t>
  </si>
  <si>
    <t>VTA-0151</t>
  </si>
  <si>
    <t>VTA-0032</t>
  </si>
  <si>
    <t>VTA-0087</t>
  </si>
  <si>
    <t>VTA-0171</t>
  </si>
  <si>
    <t>VTA-0144</t>
  </si>
  <si>
    <t>VTA-0082</t>
  </si>
  <si>
    <t>VTA-0121</t>
  </si>
  <si>
    <t>VTA-0071</t>
  </si>
  <si>
    <t>VTA-0130</t>
  </si>
  <si>
    <t>VTA-0118</t>
  </si>
  <si>
    <t>VTA-0086</t>
  </si>
  <si>
    <t>VTA-0049</t>
  </si>
  <si>
    <t>VTA-0116</t>
  </si>
  <si>
    <t>VTA-0057</t>
  </si>
  <si>
    <t>VTA-0132</t>
  </si>
  <si>
    <t>VTA-0199</t>
  </si>
  <si>
    <t>VTA-0198</t>
  </si>
  <si>
    <t>VTA-0206</t>
  </si>
  <si>
    <t>VTA-0164</t>
  </si>
  <si>
    <t>VTA-0202</t>
  </si>
  <si>
    <t>VTA-0044</t>
  </si>
  <si>
    <t>VTA-0139</t>
  </si>
  <si>
    <t>VTA-0052</t>
  </si>
  <si>
    <t>VTA-0133</t>
  </si>
  <si>
    <t>VTA-0210</t>
  </si>
  <si>
    <t>VTA-0186</t>
  </si>
  <si>
    <t>VTA-0137</t>
  </si>
  <si>
    <t>VTA-0190</t>
  </si>
  <si>
    <t>VTA-0067</t>
  </si>
  <si>
    <t>VTA-0115</t>
  </si>
  <si>
    <t>VTA-0126</t>
  </si>
  <si>
    <t>VTA-0134</t>
  </si>
  <si>
    <t>VTA-0065</t>
  </si>
  <si>
    <t>VTA-0167</t>
  </si>
  <si>
    <t>VTA-0076</t>
  </si>
  <si>
    <t>VTA-0013</t>
  </si>
  <si>
    <t>VTA-0177</t>
  </si>
  <si>
    <t>VTA-0117</t>
  </si>
  <si>
    <t>VTA-0046</t>
  </si>
  <si>
    <t>VTA-0104</t>
  </si>
  <si>
    <t>VTA-0110</t>
  </si>
  <si>
    <t>VTA-0054</t>
  </si>
  <si>
    <t>VTA-0004</t>
  </si>
  <si>
    <t>VTA-0060</t>
  </si>
  <si>
    <t>VTA-0147</t>
  </si>
  <si>
    <t>VTA-0165</t>
  </si>
  <si>
    <t>VTA-0050</t>
  </si>
  <si>
    <t>VTA-0120</t>
  </si>
  <si>
    <t>VTA-0100</t>
  </si>
  <si>
    <t>VTA-0176</t>
  </si>
  <si>
    <t>VTA-0208</t>
  </si>
  <si>
    <t>VTA-0203</t>
  </si>
  <si>
    <t>VTA-0113</t>
  </si>
  <si>
    <t>VTA-0027</t>
  </si>
  <si>
    <t>VTA-0192</t>
  </si>
  <si>
    <t>VTA-0174</t>
  </si>
  <si>
    <t>VTA-0175</t>
  </si>
  <si>
    <t>VTA-0061</t>
  </si>
  <si>
    <t>VTA-0194</t>
  </si>
  <si>
    <t>VTA-0200</t>
  </si>
  <si>
    <t>VTA-0166</t>
  </si>
  <si>
    <t>VTA-0109</t>
  </si>
  <si>
    <t>VTA-0080</t>
  </si>
  <si>
    <t>VTA-0072</t>
  </si>
  <si>
    <t>VTA-0102</t>
  </si>
  <si>
    <t>VTA-0197</t>
  </si>
  <si>
    <t>VTA-0025</t>
  </si>
  <si>
    <t>VTA-0145</t>
  </si>
  <si>
    <t>VTA-0160</t>
  </si>
  <si>
    <t>VTA-0182</t>
  </si>
  <si>
    <t>VTA-0031</t>
  </si>
  <si>
    <t>VTA-0138</t>
  </si>
  <si>
    <t>VTA-0215</t>
  </si>
  <si>
    <t>VTA-0059</t>
  </si>
  <si>
    <t>VTA-0131</t>
  </si>
  <si>
    <t>VTA-0062</t>
  </si>
  <si>
    <t>VTA-0017</t>
  </si>
  <si>
    <t>VTA-0053</t>
  </si>
  <si>
    <t>VTA-0033</t>
  </si>
  <si>
    <t>VTA-0111</t>
  </si>
  <si>
    <t>VTA-0024</t>
  </si>
  <si>
    <t>VTA-0201</t>
  </si>
  <si>
    <t>VTA-0188</t>
  </si>
  <si>
    <t>VTA-0022</t>
  </si>
  <si>
    <t>VTA-0211</t>
  </si>
  <si>
    <t>VTA-0035</t>
  </si>
  <si>
    <t>VTA-0196</t>
  </si>
  <si>
    <t>VTA-0088</t>
  </si>
  <si>
    <t>VTA-0183</t>
  </si>
  <si>
    <t>VTA-0193</t>
  </si>
  <si>
    <t>VTA-0168</t>
  </si>
  <si>
    <t>Columna</t>
  </si>
  <si>
    <t>Descripción</t>
  </si>
  <si>
    <t>Identificador único de cada transacción</t>
  </si>
  <si>
    <t>Fecha de la venta</t>
  </si>
  <si>
    <t>Departamento de Colombia donde se realizó la venta</t>
  </si>
  <si>
    <t>Ciudad capital asociada</t>
  </si>
  <si>
    <t>Producto agropecuario vendido</t>
  </si>
  <si>
    <t>Grupo al que pertenece el producto</t>
  </si>
  <si>
    <t>Canal comercial (mayorista, exportación, etc.)</t>
  </si>
  <si>
    <t>Asesor comercial responsable</t>
  </si>
  <si>
    <t>Toneladas vendidas</t>
  </si>
  <si>
    <t>Precio de venta por tonelada</t>
  </si>
  <si>
    <t>Costo de producción/compra por tonelada</t>
  </si>
  <si>
    <t>Calificación del cliente</t>
  </si>
  <si>
    <t>Latitud / Longitud</t>
  </si>
  <si>
    <t>Coordenadas para mapas</t>
  </si>
  <si>
    <t>Cantidad x Precio unitario</t>
  </si>
  <si>
    <t>Cantidad x Costo unitario</t>
  </si>
  <si>
    <t>Ventas totales - Costo total</t>
  </si>
  <si>
    <t>Utilidad / Ventas totales</t>
  </si>
  <si>
    <t>Mes / Trimestre</t>
  </si>
  <si>
    <t>Campos derivados para análisis temporal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</si>
</sst>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#,##0.0"/>
    <numFmt numFmtId="166" formatCode="0.000"/>
    <numFmt numFmtId="167" formatCode="0.0%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B5C"/>
        <bgColor rgb="FF1F3B5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165" xfId="0" applyBorder="1" applyFont="1" applyNumberFormat="1"/>
    <xf borderId="1" fillId="0" fontId="2" numFmtId="3" xfId="0" applyBorder="1" applyFont="1" applyNumberFormat="1"/>
    <xf borderId="1" fillId="0" fontId="2" numFmtId="166" xfId="0" applyBorder="1" applyFont="1" applyNumberFormat="1"/>
    <xf borderId="1" fillId="0" fontId="2" numFmtId="167" xfId="0" applyBorder="1" applyFont="1" applyNumberFormat="1"/>
    <xf borderId="2" fillId="2" fontId="1" numFmtId="0" xfId="0" applyBorder="1" applyFont="1"/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15.0"/>
    <col customWidth="1" min="5" max="5" width="16.0"/>
    <col customWidth="1" min="6" max="7" width="15.0"/>
    <col customWidth="1" min="8" max="8" width="16.0"/>
    <col customWidth="1" min="9" max="9" width="14.0"/>
    <col customWidth="1" min="10" max="11" width="22.0"/>
    <col customWidth="1" min="12" max="12" width="14.0"/>
    <col customWidth="1" min="13" max="14" width="11.0"/>
    <col customWidth="1" min="15" max="15" width="29.43"/>
    <col customWidth="1" min="16" max="17" width="18.0"/>
    <col customWidth="1" min="18" max="18" width="22.86"/>
    <col customWidth="1" min="19" max="19" width="10.0"/>
    <col customWidth="1" min="20" max="20" width="11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3">
        <v>45292.0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4">
        <v>25.0</v>
      </c>
      <c r="J2" s="5">
        <v>1871000.0</v>
      </c>
      <c r="K2" s="5">
        <v>1446879.0</v>
      </c>
      <c r="L2" s="2">
        <v>3.0</v>
      </c>
      <c r="M2" s="6">
        <v>6.189</v>
      </c>
      <c r="N2" s="6">
        <v>-67.486</v>
      </c>
      <c r="O2" s="5">
        <f t="shared" ref="O2:O221" si="1">I2*J2</f>
        <v>46775000</v>
      </c>
      <c r="P2" s="5">
        <f t="shared" ref="P2:P221" si="2">I2*K2</f>
        <v>36171975</v>
      </c>
      <c r="Q2" s="5">
        <f t="shared" ref="Q2:Q221" si="3">O2-P2</f>
        <v>10603025</v>
      </c>
      <c r="R2" s="7">
        <f t="shared" ref="R2:R221" si="4">IF(O2=0,0,Q2/O2)</f>
        <v>0.2266814538</v>
      </c>
      <c r="S2" s="2" t="str">
        <f t="shared" ref="S2:S221" si="5">TEXT(B2,"yyyy-mm")</f>
        <v>2024-01</v>
      </c>
      <c r="T2" s="2" t="str">
        <f t="shared" ref="T2:T221" si="6">"T"&amp;ROUNDUP(MONTH(B2)/3,0)&amp;"-"&amp;YEAR(B2)</f>
        <v>T1-2024</v>
      </c>
    </row>
    <row r="3">
      <c r="A3" s="2" t="s">
        <v>27</v>
      </c>
      <c r="B3" s="3">
        <v>45294.0</v>
      </c>
      <c r="C3" s="2" t="s">
        <v>21</v>
      </c>
      <c r="D3" s="2" t="s">
        <v>22</v>
      </c>
      <c r="E3" s="2" t="s">
        <v>28</v>
      </c>
      <c r="F3" s="2" t="s">
        <v>29</v>
      </c>
      <c r="G3" s="2" t="s">
        <v>25</v>
      </c>
      <c r="H3" s="2" t="s">
        <v>30</v>
      </c>
      <c r="I3" s="4">
        <v>171.7</v>
      </c>
      <c r="J3" s="5">
        <v>1.4921E7</v>
      </c>
      <c r="K3" s="5">
        <v>1.1052151E7</v>
      </c>
      <c r="L3" s="2">
        <v>5.0</v>
      </c>
      <c r="M3" s="6">
        <v>6.189</v>
      </c>
      <c r="N3" s="6">
        <v>-67.486</v>
      </c>
      <c r="O3" s="5">
        <f t="shared" si="1"/>
        <v>2561935700</v>
      </c>
      <c r="P3" s="5">
        <f t="shared" si="2"/>
        <v>1897654327</v>
      </c>
      <c r="Q3" s="5">
        <f t="shared" si="3"/>
        <v>664281373.3</v>
      </c>
      <c r="R3" s="7">
        <f t="shared" si="4"/>
        <v>0.2592888546</v>
      </c>
      <c r="S3" s="2" t="str">
        <f t="shared" si="5"/>
        <v>2024-01</v>
      </c>
      <c r="T3" s="2" t="str">
        <f t="shared" si="6"/>
        <v>T1-2024</v>
      </c>
    </row>
    <row r="4">
      <c r="A4" s="2" t="s">
        <v>31</v>
      </c>
      <c r="B4" s="3">
        <v>45298.0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4">
        <v>193.4</v>
      </c>
      <c r="J4" s="5">
        <v>2635000.0</v>
      </c>
      <c r="K4" s="5">
        <v>1610545.0</v>
      </c>
      <c r="L4" s="2">
        <v>1.0</v>
      </c>
      <c r="M4" s="6">
        <v>6.244</v>
      </c>
      <c r="N4" s="6">
        <v>-75.581</v>
      </c>
      <c r="O4" s="5">
        <f t="shared" si="1"/>
        <v>509609000</v>
      </c>
      <c r="P4" s="5">
        <f t="shared" si="2"/>
        <v>311479403</v>
      </c>
      <c r="Q4" s="5">
        <f t="shared" si="3"/>
        <v>198129597</v>
      </c>
      <c r="R4" s="7">
        <f t="shared" si="4"/>
        <v>0.3887874763</v>
      </c>
      <c r="S4" s="2" t="str">
        <f t="shared" si="5"/>
        <v>2024-01</v>
      </c>
      <c r="T4" s="2" t="str">
        <f t="shared" si="6"/>
        <v>T1-2024</v>
      </c>
    </row>
    <row r="5">
      <c r="A5" s="2" t="s">
        <v>38</v>
      </c>
      <c r="B5" s="3">
        <v>45303.0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30</v>
      </c>
      <c r="I5" s="4">
        <v>149.4</v>
      </c>
      <c r="J5" s="5">
        <v>1674000.0</v>
      </c>
      <c r="K5" s="5">
        <v>1012002.0</v>
      </c>
      <c r="L5" s="2">
        <v>4.0</v>
      </c>
      <c r="M5" s="6">
        <v>4.439</v>
      </c>
      <c r="N5" s="6">
        <v>-75.232</v>
      </c>
      <c r="O5" s="5">
        <f t="shared" si="1"/>
        <v>250095600</v>
      </c>
      <c r="P5" s="5">
        <f t="shared" si="2"/>
        <v>151193098.8</v>
      </c>
      <c r="Q5" s="5">
        <f t="shared" si="3"/>
        <v>98902501.2</v>
      </c>
      <c r="R5" s="7">
        <f t="shared" si="4"/>
        <v>0.3954587814</v>
      </c>
      <c r="S5" s="2" t="str">
        <f t="shared" si="5"/>
        <v>2024-01</v>
      </c>
      <c r="T5" s="2" t="str">
        <f t="shared" si="6"/>
        <v>T1-2024</v>
      </c>
    </row>
    <row r="6">
      <c r="A6" s="2" t="s">
        <v>44</v>
      </c>
      <c r="B6" s="3">
        <v>45304.0</v>
      </c>
      <c r="C6" s="2" t="s">
        <v>32</v>
      </c>
      <c r="D6" s="2" t="s">
        <v>33</v>
      </c>
      <c r="E6" s="2" t="s">
        <v>28</v>
      </c>
      <c r="F6" s="2" t="s">
        <v>29</v>
      </c>
      <c r="G6" s="2" t="s">
        <v>25</v>
      </c>
      <c r="H6" s="2" t="s">
        <v>26</v>
      </c>
      <c r="I6" s="4">
        <v>175.5</v>
      </c>
      <c r="J6" s="5">
        <v>1.2483E7</v>
      </c>
      <c r="K6" s="5">
        <v>8985622.0</v>
      </c>
      <c r="L6" s="2">
        <v>4.0</v>
      </c>
      <c r="M6" s="6">
        <v>6.244</v>
      </c>
      <c r="N6" s="6">
        <v>-75.581</v>
      </c>
      <c r="O6" s="5">
        <f t="shared" si="1"/>
        <v>2190766500</v>
      </c>
      <c r="P6" s="5">
        <f t="shared" si="2"/>
        <v>1576976661</v>
      </c>
      <c r="Q6" s="5">
        <f t="shared" si="3"/>
        <v>613789839</v>
      </c>
      <c r="R6" s="7">
        <f t="shared" si="4"/>
        <v>0.2801712729</v>
      </c>
      <c r="S6" s="2" t="str">
        <f t="shared" si="5"/>
        <v>2024-01</v>
      </c>
      <c r="T6" s="2" t="str">
        <f t="shared" si="6"/>
        <v>T1-2024</v>
      </c>
    </row>
    <row r="7">
      <c r="A7" s="2" t="s">
        <v>45</v>
      </c>
      <c r="B7" s="3">
        <v>45318.0</v>
      </c>
      <c r="C7" s="2" t="s">
        <v>39</v>
      </c>
      <c r="D7" s="2" t="s">
        <v>40</v>
      </c>
      <c r="E7" s="2" t="s">
        <v>23</v>
      </c>
      <c r="F7" s="2" t="s">
        <v>24</v>
      </c>
      <c r="G7" s="2" t="s">
        <v>46</v>
      </c>
      <c r="H7" s="2" t="s">
        <v>26</v>
      </c>
      <c r="I7" s="4">
        <v>36.0</v>
      </c>
      <c r="J7" s="5">
        <v>1816000.0</v>
      </c>
      <c r="K7" s="5">
        <v>1421453.0</v>
      </c>
      <c r="L7" s="2">
        <v>3.0</v>
      </c>
      <c r="M7" s="6">
        <v>4.439</v>
      </c>
      <c r="N7" s="6">
        <v>-75.232</v>
      </c>
      <c r="O7" s="5">
        <f t="shared" si="1"/>
        <v>65376000</v>
      </c>
      <c r="P7" s="5">
        <f t="shared" si="2"/>
        <v>51172308</v>
      </c>
      <c r="Q7" s="5">
        <f t="shared" si="3"/>
        <v>14203692</v>
      </c>
      <c r="R7" s="7">
        <f t="shared" si="4"/>
        <v>0.2172615639</v>
      </c>
      <c r="S7" s="2" t="str">
        <f t="shared" si="5"/>
        <v>2024-01</v>
      </c>
      <c r="T7" s="2" t="str">
        <f t="shared" si="6"/>
        <v>T1-2024</v>
      </c>
    </row>
    <row r="8">
      <c r="A8" s="2" t="s">
        <v>47</v>
      </c>
      <c r="B8" s="3">
        <v>45325.0</v>
      </c>
      <c r="C8" s="2" t="s">
        <v>48</v>
      </c>
      <c r="D8" s="2" t="s">
        <v>49</v>
      </c>
      <c r="E8" s="2" t="s">
        <v>23</v>
      </c>
      <c r="F8" s="2" t="s">
        <v>24</v>
      </c>
      <c r="G8" s="2" t="s">
        <v>25</v>
      </c>
      <c r="H8" s="2" t="s">
        <v>30</v>
      </c>
      <c r="I8" s="4">
        <v>66.9</v>
      </c>
      <c r="J8" s="5">
        <v>1578000.0</v>
      </c>
      <c r="K8" s="5">
        <v>1114483.0</v>
      </c>
      <c r="L8" s="2">
        <v>5.0</v>
      </c>
      <c r="M8" s="6">
        <v>5.339</v>
      </c>
      <c r="N8" s="6">
        <v>-72.395</v>
      </c>
      <c r="O8" s="5">
        <f t="shared" si="1"/>
        <v>105568200</v>
      </c>
      <c r="P8" s="5">
        <f t="shared" si="2"/>
        <v>74558912.7</v>
      </c>
      <c r="Q8" s="5">
        <f t="shared" si="3"/>
        <v>31009287.3</v>
      </c>
      <c r="R8" s="7">
        <f t="shared" si="4"/>
        <v>0.2937370089</v>
      </c>
      <c r="S8" s="2" t="str">
        <f t="shared" si="5"/>
        <v>2024-02</v>
      </c>
      <c r="T8" s="2" t="str">
        <f t="shared" si="6"/>
        <v>T1-2024</v>
      </c>
    </row>
    <row r="9">
      <c r="A9" s="2" t="s">
        <v>50</v>
      </c>
      <c r="B9" s="3">
        <v>45328.0</v>
      </c>
      <c r="C9" s="2" t="s">
        <v>51</v>
      </c>
      <c r="D9" s="2" t="s">
        <v>52</v>
      </c>
      <c r="E9" s="2" t="s">
        <v>53</v>
      </c>
      <c r="F9" s="2" t="s">
        <v>29</v>
      </c>
      <c r="G9" s="2" t="s">
        <v>43</v>
      </c>
      <c r="H9" s="2" t="s">
        <v>54</v>
      </c>
      <c r="I9" s="4">
        <v>163.3</v>
      </c>
      <c r="J9" s="5">
        <v>9171000.0</v>
      </c>
      <c r="K9" s="5">
        <v>5941128.0</v>
      </c>
      <c r="L9" s="2">
        <v>1.0</v>
      </c>
      <c r="M9" s="6">
        <v>4.711</v>
      </c>
      <c r="N9" s="6">
        <v>-74.072</v>
      </c>
      <c r="O9" s="5">
        <f t="shared" si="1"/>
        <v>1497624300</v>
      </c>
      <c r="P9" s="5">
        <f t="shared" si="2"/>
        <v>970186202.4</v>
      </c>
      <c r="Q9" s="5">
        <f t="shared" si="3"/>
        <v>527438097.6</v>
      </c>
      <c r="R9" s="7">
        <f t="shared" si="4"/>
        <v>0.3521831861</v>
      </c>
      <c r="S9" s="2" t="str">
        <f t="shared" si="5"/>
        <v>2024-02</v>
      </c>
      <c r="T9" s="2" t="str">
        <f t="shared" si="6"/>
        <v>T1-2024</v>
      </c>
    </row>
    <row r="10">
      <c r="A10" s="2" t="s">
        <v>55</v>
      </c>
      <c r="B10" s="3">
        <v>45328.0</v>
      </c>
      <c r="C10" s="2" t="s">
        <v>56</v>
      </c>
      <c r="D10" s="2" t="s">
        <v>57</v>
      </c>
      <c r="E10" s="2" t="s">
        <v>23</v>
      </c>
      <c r="F10" s="2" t="s">
        <v>24</v>
      </c>
      <c r="G10" s="2" t="s">
        <v>36</v>
      </c>
      <c r="H10" s="2" t="s">
        <v>58</v>
      </c>
      <c r="I10" s="4">
        <v>117.2</v>
      </c>
      <c r="J10" s="5">
        <v>1794000.0</v>
      </c>
      <c r="K10" s="5">
        <v>1434184.0</v>
      </c>
      <c r="L10" s="2">
        <v>1.0</v>
      </c>
      <c r="M10" s="6">
        <v>4.142</v>
      </c>
      <c r="N10" s="6">
        <v>-73.626</v>
      </c>
      <c r="O10" s="5">
        <f t="shared" si="1"/>
        <v>210256800</v>
      </c>
      <c r="P10" s="5">
        <f t="shared" si="2"/>
        <v>168086364.8</v>
      </c>
      <c r="Q10" s="5">
        <f t="shared" si="3"/>
        <v>42170435.2</v>
      </c>
      <c r="R10" s="7">
        <f t="shared" si="4"/>
        <v>0.2005663322</v>
      </c>
      <c r="S10" s="2" t="str">
        <f t="shared" si="5"/>
        <v>2024-02</v>
      </c>
      <c r="T10" s="2" t="str">
        <f t="shared" si="6"/>
        <v>T1-2024</v>
      </c>
    </row>
    <row r="11">
      <c r="A11" s="2" t="s">
        <v>59</v>
      </c>
      <c r="B11" s="3">
        <v>45330.0</v>
      </c>
      <c r="C11" s="2" t="s">
        <v>60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26</v>
      </c>
      <c r="I11" s="4">
        <v>54.4</v>
      </c>
      <c r="J11" s="5">
        <v>1475000.0</v>
      </c>
      <c r="K11" s="5">
        <v>899523.0</v>
      </c>
      <c r="L11" s="2">
        <v>4.0</v>
      </c>
      <c r="M11" s="6">
        <v>7.084</v>
      </c>
      <c r="N11" s="6">
        <v>-70.759</v>
      </c>
      <c r="O11" s="5">
        <f t="shared" si="1"/>
        <v>80240000</v>
      </c>
      <c r="P11" s="5">
        <f t="shared" si="2"/>
        <v>48934051.2</v>
      </c>
      <c r="Q11" s="5">
        <f t="shared" si="3"/>
        <v>31305948.8</v>
      </c>
      <c r="R11" s="7">
        <f t="shared" si="4"/>
        <v>0.3901538983</v>
      </c>
      <c r="S11" s="2" t="str">
        <f t="shared" si="5"/>
        <v>2024-02</v>
      </c>
      <c r="T11" s="2" t="str">
        <f t="shared" si="6"/>
        <v>T1-2024</v>
      </c>
    </row>
    <row r="12">
      <c r="A12" s="2" t="s">
        <v>64</v>
      </c>
      <c r="B12" s="3">
        <v>45333.0</v>
      </c>
      <c r="C12" s="2" t="s">
        <v>48</v>
      </c>
      <c r="D12" s="2" t="s">
        <v>49</v>
      </c>
      <c r="E12" s="2" t="s">
        <v>65</v>
      </c>
      <c r="F12" s="2" t="s">
        <v>42</v>
      </c>
      <c r="G12" s="2" t="s">
        <v>36</v>
      </c>
      <c r="H12" s="2" t="s">
        <v>26</v>
      </c>
      <c r="I12" s="4">
        <v>160.6</v>
      </c>
      <c r="J12" s="5">
        <v>3022000.0</v>
      </c>
      <c r="K12" s="5">
        <v>1836677.0</v>
      </c>
      <c r="L12" s="2">
        <v>1.0</v>
      </c>
      <c r="M12" s="6">
        <v>5.339</v>
      </c>
      <c r="N12" s="6">
        <v>-72.395</v>
      </c>
      <c r="O12" s="5">
        <f t="shared" si="1"/>
        <v>485333200</v>
      </c>
      <c r="P12" s="5">
        <f t="shared" si="2"/>
        <v>294970326.2</v>
      </c>
      <c r="Q12" s="5">
        <f t="shared" si="3"/>
        <v>190362873.8</v>
      </c>
      <c r="R12" s="7">
        <f t="shared" si="4"/>
        <v>0.3922313038</v>
      </c>
      <c r="S12" s="2" t="str">
        <f t="shared" si="5"/>
        <v>2024-02</v>
      </c>
      <c r="T12" s="2" t="str">
        <f t="shared" si="6"/>
        <v>T1-2024</v>
      </c>
    </row>
    <row r="13">
      <c r="A13" s="2" t="s">
        <v>66</v>
      </c>
      <c r="B13" s="3">
        <v>45336.0</v>
      </c>
      <c r="C13" s="2" t="s">
        <v>21</v>
      </c>
      <c r="D13" s="2" t="s">
        <v>22</v>
      </c>
      <c r="E13" s="2" t="s">
        <v>67</v>
      </c>
      <c r="F13" s="2" t="s">
        <v>24</v>
      </c>
      <c r="G13" s="2" t="s">
        <v>25</v>
      </c>
      <c r="H13" s="2" t="s">
        <v>58</v>
      </c>
      <c r="I13" s="4">
        <v>301.2</v>
      </c>
      <c r="J13" s="5">
        <v>1.2249E7</v>
      </c>
      <c r="K13" s="5">
        <v>9795392.0</v>
      </c>
      <c r="L13" s="2">
        <v>4.0</v>
      </c>
      <c r="M13" s="6">
        <v>6.189</v>
      </c>
      <c r="N13" s="6">
        <v>-67.486</v>
      </c>
      <c r="O13" s="5">
        <f t="shared" si="1"/>
        <v>3689398800</v>
      </c>
      <c r="P13" s="5">
        <f t="shared" si="2"/>
        <v>2950372070</v>
      </c>
      <c r="Q13" s="5">
        <f t="shared" si="3"/>
        <v>739026729.6</v>
      </c>
      <c r="R13" s="7">
        <f t="shared" si="4"/>
        <v>0.2003108825</v>
      </c>
      <c r="S13" s="2" t="str">
        <f t="shared" si="5"/>
        <v>2024-02</v>
      </c>
      <c r="T13" s="2" t="str">
        <f t="shared" si="6"/>
        <v>T1-2024</v>
      </c>
    </row>
    <row r="14">
      <c r="A14" s="2" t="s">
        <v>68</v>
      </c>
      <c r="B14" s="3">
        <v>45343.0</v>
      </c>
      <c r="C14" s="2" t="s">
        <v>48</v>
      </c>
      <c r="D14" s="2" t="s">
        <v>49</v>
      </c>
      <c r="E14" s="2" t="s">
        <v>53</v>
      </c>
      <c r="F14" s="2" t="s">
        <v>29</v>
      </c>
      <c r="G14" s="2" t="s">
        <v>36</v>
      </c>
      <c r="H14" s="2" t="s">
        <v>37</v>
      </c>
      <c r="I14" s="4">
        <v>85.8</v>
      </c>
      <c r="J14" s="5">
        <v>1.127E7</v>
      </c>
      <c r="K14" s="5">
        <v>7050226.0</v>
      </c>
      <c r="L14" s="2">
        <v>2.0</v>
      </c>
      <c r="M14" s="6">
        <v>5.339</v>
      </c>
      <c r="N14" s="6">
        <v>-72.395</v>
      </c>
      <c r="O14" s="5">
        <f t="shared" si="1"/>
        <v>966966000</v>
      </c>
      <c r="P14" s="5">
        <f t="shared" si="2"/>
        <v>604909390.8</v>
      </c>
      <c r="Q14" s="5">
        <f t="shared" si="3"/>
        <v>362056609.2</v>
      </c>
      <c r="R14" s="7">
        <f t="shared" si="4"/>
        <v>0.3744253771</v>
      </c>
      <c r="S14" s="2" t="str">
        <f t="shared" si="5"/>
        <v>2024-02</v>
      </c>
      <c r="T14" s="2" t="str">
        <f t="shared" si="6"/>
        <v>T1-2024</v>
      </c>
    </row>
    <row r="15">
      <c r="A15" s="2" t="s">
        <v>69</v>
      </c>
      <c r="B15" s="3">
        <v>45344.0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25</v>
      </c>
      <c r="H15" s="2" t="s">
        <v>30</v>
      </c>
      <c r="I15" s="4">
        <v>16.1</v>
      </c>
      <c r="J15" s="5">
        <v>1670000.0</v>
      </c>
      <c r="K15" s="5">
        <v>1251909.0</v>
      </c>
      <c r="L15" s="2">
        <v>3.0</v>
      </c>
      <c r="M15" s="6">
        <v>4.439</v>
      </c>
      <c r="N15" s="6">
        <v>-75.232</v>
      </c>
      <c r="O15" s="5">
        <f t="shared" si="1"/>
        <v>26887000</v>
      </c>
      <c r="P15" s="5">
        <f t="shared" si="2"/>
        <v>20155734.9</v>
      </c>
      <c r="Q15" s="5">
        <f t="shared" si="3"/>
        <v>6731265.1</v>
      </c>
      <c r="R15" s="7">
        <f t="shared" si="4"/>
        <v>0.2503538922</v>
      </c>
      <c r="S15" s="2" t="str">
        <f t="shared" si="5"/>
        <v>2024-02</v>
      </c>
      <c r="T15" s="2" t="str">
        <f t="shared" si="6"/>
        <v>T1-2024</v>
      </c>
    </row>
    <row r="16">
      <c r="A16" s="2" t="s">
        <v>70</v>
      </c>
      <c r="B16" s="3">
        <v>45344.0</v>
      </c>
      <c r="C16" s="2" t="s">
        <v>51</v>
      </c>
      <c r="D16" s="2" t="s">
        <v>52</v>
      </c>
      <c r="E16" s="2" t="s">
        <v>61</v>
      </c>
      <c r="F16" s="2" t="s">
        <v>62</v>
      </c>
      <c r="G16" s="2" t="s">
        <v>46</v>
      </c>
      <c r="H16" s="2" t="s">
        <v>30</v>
      </c>
      <c r="I16" s="4">
        <v>28.8</v>
      </c>
      <c r="J16" s="5">
        <v>1459000.0</v>
      </c>
      <c r="K16" s="5">
        <v>914505.0</v>
      </c>
      <c r="L16" s="2">
        <v>4.0</v>
      </c>
      <c r="M16" s="6">
        <v>4.711</v>
      </c>
      <c r="N16" s="6">
        <v>-74.072</v>
      </c>
      <c r="O16" s="5">
        <f t="shared" si="1"/>
        <v>42019200</v>
      </c>
      <c r="P16" s="5">
        <f t="shared" si="2"/>
        <v>26337744</v>
      </c>
      <c r="Q16" s="5">
        <f t="shared" si="3"/>
        <v>15681456</v>
      </c>
      <c r="R16" s="7">
        <f t="shared" si="4"/>
        <v>0.3731973955</v>
      </c>
      <c r="S16" s="2" t="str">
        <f t="shared" si="5"/>
        <v>2024-02</v>
      </c>
      <c r="T16" s="2" t="str">
        <f t="shared" si="6"/>
        <v>T1-2024</v>
      </c>
    </row>
    <row r="17">
      <c r="A17" s="2" t="s">
        <v>71</v>
      </c>
      <c r="B17" s="3">
        <v>45347.0</v>
      </c>
      <c r="C17" s="2" t="s">
        <v>56</v>
      </c>
      <c r="D17" s="2" t="s">
        <v>57</v>
      </c>
      <c r="E17" s="2" t="s">
        <v>41</v>
      </c>
      <c r="F17" s="2" t="s">
        <v>42</v>
      </c>
      <c r="G17" s="2" t="s">
        <v>25</v>
      </c>
      <c r="H17" s="2" t="s">
        <v>58</v>
      </c>
      <c r="I17" s="4">
        <v>70.4</v>
      </c>
      <c r="J17" s="5">
        <v>1555000.0</v>
      </c>
      <c r="K17" s="5">
        <v>986965.0</v>
      </c>
      <c r="L17" s="2">
        <v>2.0</v>
      </c>
      <c r="M17" s="6">
        <v>4.142</v>
      </c>
      <c r="N17" s="6">
        <v>-73.626</v>
      </c>
      <c r="O17" s="5">
        <f t="shared" si="1"/>
        <v>109472000</v>
      </c>
      <c r="P17" s="5">
        <f t="shared" si="2"/>
        <v>69482336</v>
      </c>
      <c r="Q17" s="5">
        <f t="shared" si="3"/>
        <v>39989664</v>
      </c>
      <c r="R17" s="7">
        <f t="shared" si="4"/>
        <v>0.3652958199</v>
      </c>
      <c r="S17" s="2" t="str">
        <f t="shared" si="5"/>
        <v>2024-02</v>
      </c>
      <c r="T17" s="2" t="str">
        <f t="shared" si="6"/>
        <v>T1-2024</v>
      </c>
    </row>
    <row r="18">
      <c r="A18" s="2" t="s">
        <v>72</v>
      </c>
      <c r="B18" s="3">
        <v>45348.0</v>
      </c>
      <c r="C18" s="2" t="s">
        <v>48</v>
      </c>
      <c r="D18" s="2" t="s">
        <v>49</v>
      </c>
      <c r="E18" s="2" t="s">
        <v>65</v>
      </c>
      <c r="F18" s="2" t="s">
        <v>42</v>
      </c>
      <c r="G18" s="2" t="s">
        <v>46</v>
      </c>
      <c r="H18" s="2" t="s">
        <v>54</v>
      </c>
      <c r="I18" s="4">
        <v>195.8</v>
      </c>
      <c r="J18" s="5">
        <v>3291000.0</v>
      </c>
      <c r="K18" s="5">
        <v>2093781.0</v>
      </c>
      <c r="L18" s="2">
        <v>3.0</v>
      </c>
      <c r="M18" s="6">
        <v>5.339</v>
      </c>
      <c r="N18" s="6">
        <v>-72.395</v>
      </c>
      <c r="O18" s="5">
        <f t="shared" si="1"/>
        <v>644377800</v>
      </c>
      <c r="P18" s="5">
        <f t="shared" si="2"/>
        <v>409962319.8</v>
      </c>
      <c r="Q18" s="5">
        <f t="shared" si="3"/>
        <v>234415480.2</v>
      </c>
      <c r="R18" s="7">
        <f t="shared" si="4"/>
        <v>0.3637857794</v>
      </c>
      <c r="S18" s="2" t="str">
        <f t="shared" si="5"/>
        <v>2024-02</v>
      </c>
      <c r="T18" s="2" t="str">
        <f t="shared" si="6"/>
        <v>T1-2024</v>
      </c>
    </row>
    <row r="19">
      <c r="A19" s="2" t="s">
        <v>73</v>
      </c>
      <c r="B19" s="3">
        <v>45349.0</v>
      </c>
      <c r="C19" s="2" t="s">
        <v>51</v>
      </c>
      <c r="D19" s="2" t="s">
        <v>52</v>
      </c>
      <c r="E19" s="2" t="s">
        <v>53</v>
      </c>
      <c r="F19" s="2" t="s">
        <v>29</v>
      </c>
      <c r="G19" s="2" t="s">
        <v>63</v>
      </c>
      <c r="H19" s="2" t="s">
        <v>30</v>
      </c>
      <c r="I19" s="4">
        <v>174.3</v>
      </c>
      <c r="J19" s="5">
        <v>9154000.0</v>
      </c>
      <c r="K19" s="5">
        <v>5423890.0</v>
      </c>
      <c r="L19" s="2">
        <v>3.0</v>
      </c>
      <c r="M19" s="6">
        <v>4.711</v>
      </c>
      <c r="N19" s="6">
        <v>-74.072</v>
      </c>
      <c r="O19" s="5">
        <f t="shared" si="1"/>
        <v>1595542200</v>
      </c>
      <c r="P19" s="5">
        <f t="shared" si="2"/>
        <v>945384027</v>
      </c>
      <c r="Q19" s="5">
        <f t="shared" si="3"/>
        <v>650158173</v>
      </c>
      <c r="R19" s="7">
        <f t="shared" si="4"/>
        <v>0.4074841599</v>
      </c>
      <c r="S19" s="2" t="str">
        <f t="shared" si="5"/>
        <v>2024-02</v>
      </c>
      <c r="T19" s="2" t="str">
        <f t="shared" si="6"/>
        <v>T1-2024</v>
      </c>
    </row>
    <row r="20">
      <c r="A20" s="2" t="s">
        <v>74</v>
      </c>
      <c r="B20" s="3">
        <v>45353.0</v>
      </c>
      <c r="C20" s="2" t="s">
        <v>39</v>
      </c>
      <c r="D20" s="2" t="s">
        <v>40</v>
      </c>
      <c r="E20" s="2" t="s">
        <v>23</v>
      </c>
      <c r="F20" s="2" t="s">
        <v>24</v>
      </c>
      <c r="G20" s="2" t="s">
        <v>63</v>
      </c>
      <c r="H20" s="2" t="s">
        <v>54</v>
      </c>
      <c r="I20" s="4">
        <v>107.7</v>
      </c>
      <c r="J20" s="5">
        <v>1770000.0</v>
      </c>
      <c r="K20" s="5">
        <v>1283771.0</v>
      </c>
      <c r="L20" s="2">
        <v>2.0</v>
      </c>
      <c r="M20" s="6">
        <v>4.439</v>
      </c>
      <c r="N20" s="6">
        <v>-75.232</v>
      </c>
      <c r="O20" s="5">
        <f t="shared" si="1"/>
        <v>190629000</v>
      </c>
      <c r="P20" s="5">
        <f t="shared" si="2"/>
        <v>138262136.7</v>
      </c>
      <c r="Q20" s="5">
        <f t="shared" si="3"/>
        <v>52366863.3</v>
      </c>
      <c r="R20" s="7">
        <f t="shared" si="4"/>
        <v>0.2747056497</v>
      </c>
      <c r="S20" s="2" t="str">
        <f t="shared" si="5"/>
        <v>2024-03</v>
      </c>
      <c r="T20" s="2" t="str">
        <f t="shared" si="6"/>
        <v>T1-2024</v>
      </c>
    </row>
    <row r="21" ht="15.75" customHeight="1">
      <c r="A21" s="2" t="s">
        <v>75</v>
      </c>
      <c r="B21" s="3">
        <v>45353.0</v>
      </c>
      <c r="C21" s="2" t="s">
        <v>51</v>
      </c>
      <c r="D21" s="2" t="s">
        <v>52</v>
      </c>
      <c r="E21" s="2" t="s">
        <v>23</v>
      </c>
      <c r="F21" s="2" t="s">
        <v>24</v>
      </c>
      <c r="G21" s="2" t="s">
        <v>43</v>
      </c>
      <c r="H21" s="2" t="s">
        <v>30</v>
      </c>
      <c r="I21" s="4">
        <v>114.9</v>
      </c>
      <c r="J21" s="5">
        <v>1920000.0</v>
      </c>
      <c r="K21" s="5">
        <v>1262960.0</v>
      </c>
      <c r="L21" s="2">
        <v>4.0</v>
      </c>
      <c r="M21" s="6">
        <v>4.711</v>
      </c>
      <c r="N21" s="6">
        <v>-74.072</v>
      </c>
      <c r="O21" s="5">
        <f t="shared" si="1"/>
        <v>220608000</v>
      </c>
      <c r="P21" s="5">
        <f t="shared" si="2"/>
        <v>145114104</v>
      </c>
      <c r="Q21" s="5">
        <f t="shared" si="3"/>
        <v>75493896</v>
      </c>
      <c r="R21" s="7">
        <f t="shared" si="4"/>
        <v>0.3422083333</v>
      </c>
      <c r="S21" s="2" t="str">
        <f t="shared" si="5"/>
        <v>2024-03</v>
      </c>
      <c r="T21" s="2" t="str">
        <f t="shared" si="6"/>
        <v>T1-2024</v>
      </c>
    </row>
    <row r="22" ht="15.75" customHeight="1">
      <c r="A22" s="2" t="s">
        <v>76</v>
      </c>
      <c r="B22" s="3">
        <v>45355.0</v>
      </c>
      <c r="C22" s="2" t="s">
        <v>32</v>
      </c>
      <c r="D22" s="2" t="s">
        <v>33</v>
      </c>
      <c r="E22" s="2" t="s">
        <v>77</v>
      </c>
      <c r="F22" s="2" t="s">
        <v>35</v>
      </c>
      <c r="G22" s="2" t="s">
        <v>25</v>
      </c>
      <c r="H22" s="2" t="s">
        <v>78</v>
      </c>
      <c r="I22" s="4">
        <v>218.1</v>
      </c>
      <c r="J22" s="5">
        <v>3398000.0</v>
      </c>
      <c r="K22" s="5">
        <v>2678078.0</v>
      </c>
      <c r="L22" s="2">
        <v>1.0</v>
      </c>
      <c r="M22" s="6">
        <v>6.244</v>
      </c>
      <c r="N22" s="6">
        <v>-75.581</v>
      </c>
      <c r="O22" s="5">
        <f t="shared" si="1"/>
        <v>741103800</v>
      </c>
      <c r="P22" s="5">
        <f t="shared" si="2"/>
        <v>584088811.8</v>
      </c>
      <c r="Q22" s="5">
        <f t="shared" si="3"/>
        <v>157014988.2</v>
      </c>
      <c r="R22" s="7">
        <f t="shared" si="4"/>
        <v>0.211866392</v>
      </c>
      <c r="S22" s="2" t="str">
        <f t="shared" si="5"/>
        <v>2024-03</v>
      </c>
      <c r="T22" s="2" t="str">
        <f t="shared" si="6"/>
        <v>T1-2024</v>
      </c>
    </row>
    <row r="23" ht="15.75" customHeight="1">
      <c r="A23" s="2" t="s">
        <v>79</v>
      </c>
      <c r="B23" s="3">
        <v>45367.0</v>
      </c>
      <c r="C23" s="2" t="s">
        <v>21</v>
      </c>
      <c r="D23" s="2" t="s">
        <v>22</v>
      </c>
      <c r="E23" s="2" t="s">
        <v>34</v>
      </c>
      <c r="F23" s="2" t="s">
        <v>35</v>
      </c>
      <c r="G23" s="2" t="s">
        <v>63</v>
      </c>
      <c r="H23" s="2" t="s">
        <v>78</v>
      </c>
      <c r="I23" s="4">
        <v>140.6</v>
      </c>
      <c r="J23" s="5">
        <v>2864000.0</v>
      </c>
      <c r="K23" s="5">
        <v>1878192.0</v>
      </c>
      <c r="L23" s="2">
        <v>5.0</v>
      </c>
      <c r="M23" s="6">
        <v>6.189</v>
      </c>
      <c r="N23" s="6">
        <v>-67.486</v>
      </c>
      <c r="O23" s="5">
        <f t="shared" si="1"/>
        <v>402678400</v>
      </c>
      <c r="P23" s="5">
        <f t="shared" si="2"/>
        <v>264073795.2</v>
      </c>
      <c r="Q23" s="5">
        <f t="shared" si="3"/>
        <v>138604604.8</v>
      </c>
      <c r="R23" s="7">
        <f t="shared" si="4"/>
        <v>0.3442067039</v>
      </c>
      <c r="S23" s="2" t="str">
        <f t="shared" si="5"/>
        <v>2024-03</v>
      </c>
      <c r="T23" s="2" t="str">
        <f t="shared" si="6"/>
        <v>T1-2024</v>
      </c>
    </row>
    <row r="24" ht="15.75" customHeight="1">
      <c r="A24" s="2" t="s">
        <v>80</v>
      </c>
      <c r="B24" s="3">
        <v>45368.0</v>
      </c>
      <c r="C24" s="2" t="s">
        <v>21</v>
      </c>
      <c r="D24" s="2" t="s">
        <v>22</v>
      </c>
      <c r="E24" s="2" t="s">
        <v>28</v>
      </c>
      <c r="F24" s="2" t="s">
        <v>29</v>
      </c>
      <c r="G24" s="2" t="s">
        <v>43</v>
      </c>
      <c r="H24" s="2" t="s">
        <v>58</v>
      </c>
      <c r="I24" s="4">
        <v>266.0</v>
      </c>
      <c r="J24" s="5">
        <v>1.4902E7</v>
      </c>
      <c r="K24" s="5">
        <v>8745253.0</v>
      </c>
      <c r="L24" s="2">
        <v>5.0</v>
      </c>
      <c r="M24" s="6">
        <v>6.189</v>
      </c>
      <c r="N24" s="6">
        <v>-67.486</v>
      </c>
      <c r="O24" s="5">
        <f t="shared" si="1"/>
        <v>3963932000</v>
      </c>
      <c r="P24" s="5">
        <f t="shared" si="2"/>
        <v>2326237298</v>
      </c>
      <c r="Q24" s="5">
        <f t="shared" si="3"/>
        <v>1637694702</v>
      </c>
      <c r="R24" s="7">
        <f t="shared" si="4"/>
        <v>0.4131490404</v>
      </c>
      <c r="S24" s="2" t="str">
        <f t="shared" si="5"/>
        <v>2024-03</v>
      </c>
      <c r="T24" s="2" t="str">
        <f t="shared" si="6"/>
        <v>T1-2024</v>
      </c>
    </row>
    <row r="25" ht="15.75" customHeight="1">
      <c r="A25" s="2" t="s">
        <v>81</v>
      </c>
      <c r="B25" s="3">
        <v>45370.0</v>
      </c>
      <c r="C25" s="2" t="s">
        <v>51</v>
      </c>
      <c r="D25" s="2" t="s">
        <v>52</v>
      </c>
      <c r="E25" s="2" t="s">
        <v>41</v>
      </c>
      <c r="F25" s="2" t="s">
        <v>42</v>
      </c>
      <c r="G25" s="2" t="s">
        <v>43</v>
      </c>
      <c r="H25" s="2" t="s">
        <v>37</v>
      </c>
      <c r="I25" s="4">
        <v>78.7</v>
      </c>
      <c r="J25" s="5">
        <v>1797000.0</v>
      </c>
      <c r="K25" s="5">
        <v>1261403.0</v>
      </c>
      <c r="L25" s="2">
        <v>1.0</v>
      </c>
      <c r="M25" s="6">
        <v>4.711</v>
      </c>
      <c r="N25" s="6">
        <v>-74.072</v>
      </c>
      <c r="O25" s="5">
        <f t="shared" si="1"/>
        <v>141423900</v>
      </c>
      <c r="P25" s="5">
        <f t="shared" si="2"/>
        <v>99272416.1</v>
      </c>
      <c r="Q25" s="5">
        <f t="shared" si="3"/>
        <v>42151483.9</v>
      </c>
      <c r="R25" s="7">
        <f t="shared" si="4"/>
        <v>0.29805064</v>
      </c>
      <c r="S25" s="2" t="str">
        <f t="shared" si="5"/>
        <v>2024-03</v>
      </c>
      <c r="T25" s="2" t="str">
        <f t="shared" si="6"/>
        <v>T1-2024</v>
      </c>
    </row>
    <row r="26" ht="15.75" customHeight="1">
      <c r="A26" s="2" t="s">
        <v>82</v>
      </c>
      <c r="B26" s="3">
        <v>45377.0</v>
      </c>
      <c r="C26" s="2" t="s">
        <v>48</v>
      </c>
      <c r="D26" s="2" t="s">
        <v>49</v>
      </c>
      <c r="E26" s="2" t="s">
        <v>28</v>
      </c>
      <c r="F26" s="2" t="s">
        <v>29</v>
      </c>
      <c r="G26" s="2" t="s">
        <v>25</v>
      </c>
      <c r="H26" s="2" t="s">
        <v>54</v>
      </c>
      <c r="I26" s="4">
        <v>34.5</v>
      </c>
      <c r="J26" s="5">
        <v>1.2552E7</v>
      </c>
      <c r="K26" s="5">
        <v>8184125.0</v>
      </c>
      <c r="L26" s="2">
        <v>4.0</v>
      </c>
      <c r="M26" s="6">
        <v>5.339</v>
      </c>
      <c r="N26" s="6">
        <v>-72.395</v>
      </c>
      <c r="O26" s="5">
        <f t="shared" si="1"/>
        <v>433044000</v>
      </c>
      <c r="P26" s="5">
        <f t="shared" si="2"/>
        <v>282352312.5</v>
      </c>
      <c r="Q26" s="5">
        <f t="shared" si="3"/>
        <v>150691687.5</v>
      </c>
      <c r="R26" s="7">
        <f t="shared" si="4"/>
        <v>0.3479823932</v>
      </c>
      <c r="S26" s="2" t="str">
        <f t="shared" si="5"/>
        <v>2024-03</v>
      </c>
      <c r="T26" s="2" t="str">
        <f t="shared" si="6"/>
        <v>T1-2024</v>
      </c>
    </row>
    <row r="27" ht="15.75" customHeight="1">
      <c r="A27" s="2" t="s">
        <v>83</v>
      </c>
      <c r="B27" s="3">
        <v>45378.0</v>
      </c>
      <c r="C27" s="2" t="s">
        <v>48</v>
      </c>
      <c r="D27" s="2" t="s">
        <v>49</v>
      </c>
      <c r="E27" s="2" t="s">
        <v>65</v>
      </c>
      <c r="F27" s="2" t="s">
        <v>42</v>
      </c>
      <c r="G27" s="2" t="s">
        <v>36</v>
      </c>
      <c r="H27" s="2" t="s">
        <v>37</v>
      </c>
      <c r="I27" s="4">
        <v>22.5</v>
      </c>
      <c r="J27" s="5">
        <v>2941000.0</v>
      </c>
      <c r="K27" s="5">
        <v>1881836.0</v>
      </c>
      <c r="L27" s="2">
        <v>4.0</v>
      </c>
      <c r="M27" s="6">
        <v>5.339</v>
      </c>
      <c r="N27" s="6">
        <v>-72.395</v>
      </c>
      <c r="O27" s="5">
        <f t="shared" si="1"/>
        <v>66172500</v>
      </c>
      <c r="P27" s="5">
        <f t="shared" si="2"/>
        <v>42341310</v>
      </c>
      <c r="Q27" s="5">
        <f t="shared" si="3"/>
        <v>23831190</v>
      </c>
      <c r="R27" s="7">
        <f t="shared" si="4"/>
        <v>0.3601373682</v>
      </c>
      <c r="S27" s="2" t="str">
        <f t="shared" si="5"/>
        <v>2024-03</v>
      </c>
      <c r="T27" s="2" t="str">
        <f t="shared" si="6"/>
        <v>T1-2024</v>
      </c>
    </row>
    <row r="28" ht="15.75" customHeight="1">
      <c r="A28" s="2" t="s">
        <v>84</v>
      </c>
      <c r="B28" s="3">
        <v>45380.0</v>
      </c>
      <c r="C28" s="2" t="s">
        <v>21</v>
      </c>
      <c r="D28" s="2" t="s">
        <v>22</v>
      </c>
      <c r="E28" s="2" t="s">
        <v>41</v>
      </c>
      <c r="F28" s="2" t="s">
        <v>42</v>
      </c>
      <c r="G28" s="2" t="s">
        <v>25</v>
      </c>
      <c r="H28" s="2" t="s">
        <v>58</v>
      </c>
      <c r="I28" s="4">
        <v>140.3</v>
      </c>
      <c r="J28" s="5">
        <v>1769000.0</v>
      </c>
      <c r="K28" s="5">
        <v>1185893.0</v>
      </c>
      <c r="L28" s="2">
        <v>4.0</v>
      </c>
      <c r="M28" s="6">
        <v>6.189</v>
      </c>
      <c r="N28" s="6">
        <v>-67.486</v>
      </c>
      <c r="O28" s="5">
        <f t="shared" si="1"/>
        <v>248190700</v>
      </c>
      <c r="P28" s="5">
        <f t="shared" si="2"/>
        <v>166380787.9</v>
      </c>
      <c r="Q28" s="5">
        <f t="shared" si="3"/>
        <v>81809912.1</v>
      </c>
      <c r="R28" s="7">
        <f t="shared" si="4"/>
        <v>0.329625212</v>
      </c>
      <c r="S28" s="2" t="str">
        <f t="shared" si="5"/>
        <v>2024-03</v>
      </c>
      <c r="T28" s="2" t="str">
        <f t="shared" si="6"/>
        <v>T1-2024</v>
      </c>
    </row>
    <row r="29" ht="15.75" customHeight="1">
      <c r="A29" s="2" t="s">
        <v>85</v>
      </c>
      <c r="B29" s="3">
        <v>45381.0</v>
      </c>
      <c r="C29" s="2" t="s">
        <v>60</v>
      </c>
      <c r="D29" s="2" t="s">
        <v>60</v>
      </c>
      <c r="E29" s="2" t="s">
        <v>23</v>
      </c>
      <c r="F29" s="2" t="s">
        <v>24</v>
      </c>
      <c r="G29" s="2" t="s">
        <v>63</v>
      </c>
      <c r="H29" s="2" t="s">
        <v>26</v>
      </c>
      <c r="I29" s="4">
        <v>22.1</v>
      </c>
      <c r="J29" s="5">
        <v>1738000.0</v>
      </c>
      <c r="K29" s="5">
        <v>1201268.0</v>
      </c>
      <c r="L29" s="2">
        <v>1.0</v>
      </c>
      <c r="M29" s="6">
        <v>7.084</v>
      </c>
      <c r="N29" s="6">
        <v>-70.759</v>
      </c>
      <c r="O29" s="5">
        <f t="shared" si="1"/>
        <v>38409800</v>
      </c>
      <c r="P29" s="5">
        <f t="shared" si="2"/>
        <v>26548022.8</v>
      </c>
      <c r="Q29" s="5">
        <f t="shared" si="3"/>
        <v>11861777.2</v>
      </c>
      <c r="R29" s="7">
        <f t="shared" si="4"/>
        <v>0.3088216341</v>
      </c>
      <c r="S29" s="2" t="str">
        <f t="shared" si="5"/>
        <v>2024-03</v>
      </c>
      <c r="T29" s="2" t="str">
        <f t="shared" si="6"/>
        <v>T1-2024</v>
      </c>
    </row>
    <row r="30" ht="15.75" customHeight="1">
      <c r="A30" s="2" t="s">
        <v>86</v>
      </c>
      <c r="B30" s="3">
        <v>45381.0</v>
      </c>
      <c r="C30" s="2" t="s">
        <v>39</v>
      </c>
      <c r="D30" s="2" t="s">
        <v>40</v>
      </c>
      <c r="E30" s="2" t="s">
        <v>53</v>
      </c>
      <c r="F30" s="2" t="s">
        <v>29</v>
      </c>
      <c r="G30" s="2" t="s">
        <v>46</v>
      </c>
      <c r="H30" s="2" t="s">
        <v>58</v>
      </c>
      <c r="I30" s="4">
        <v>37.4</v>
      </c>
      <c r="J30" s="5">
        <v>1.122E7</v>
      </c>
      <c r="K30" s="5">
        <v>7224330.0</v>
      </c>
      <c r="L30" s="2">
        <v>3.0</v>
      </c>
      <c r="M30" s="6">
        <v>4.439</v>
      </c>
      <c r="N30" s="6">
        <v>-75.232</v>
      </c>
      <c r="O30" s="5">
        <f t="shared" si="1"/>
        <v>419628000</v>
      </c>
      <c r="P30" s="5">
        <f t="shared" si="2"/>
        <v>270189942</v>
      </c>
      <c r="Q30" s="5">
        <f t="shared" si="3"/>
        <v>149438058</v>
      </c>
      <c r="R30" s="7">
        <f t="shared" si="4"/>
        <v>0.3561203209</v>
      </c>
      <c r="S30" s="2" t="str">
        <f t="shared" si="5"/>
        <v>2024-03</v>
      </c>
      <c r="T30" s="2" t="str">
        <f t="shared" si="6"/>
        <v>T1-2024</v>
      </c>
    </row>
    <row r="31" ht="15.75" customHeight="1">
      <c r="A31" s="2" t="s">
        <v>87</v>
      </c>
      <c r="B31" s="3">
        <v>45385.0</v>
      </c>
      <c r="C31" s="2" t="s">
        <v>21</v>
      </c>
      <c r="D31" s="2" t="s">
        <v>22</v>
      </c>
      <c r="E31" s="2" t="s">
        <v>88</v>
      </c>
      <c r="F31" s="2" t="s">
        <v>62</v>
      </c>
      <c r="G31" s="2" t="s">
        <v>25</v>
      </c>
      <c r="H31" s="2" t="s">
        <v>30</v>
      </c>
      <c r="I31" s="4">
        <v>62.9</v>
      </c>
      <c r="J31" s="5">
        <v>1353000.0</v>
      </c>
      <c r="K31" s="5">
        <v>1040053.0</v>
      </c>
      <c r="L31" s="2">
        <v>3.0</v>
      </c>
      <c r="M31" s="6">
        <v>6.189</v>
      </c>
      <c r="N31" s="6">
        <v>-67.486</v>
      </c>
      <c r="O31" s="5">
        <f t="shared" si="1"/>
        <v>85103700</v>
      </c>
      <c r="P31" s="5">
        <f t="shared" si="2"/>
        <v>65419333.7</v>
      </c>
      <c r="Q31" s="5">
        <f t="shared" si="3"/>
        <v>19684366.3</v>
      </c>
      <c r="R31" s="7">
        <f t="shared" si="4"/>
        <v>0.2312985957</v>
      </c>
      <c r="S31" s="2" t="str">
        <f t="shared" si="5"/>
        <v>2024-04</v>
      </c>
      <c r="T31" s="2" t="str">
        <f t="shared" si="6"/>
        <v>T2-2024</v>
      </c>
    </row>
    <row r="32" ht="15.75" customHeight="1">
      <c r="A32" s="2" t="s">
        <v>89</v>
      </c>
      <c r="B32" s="3">
        <v>45385.0</v>
      </c>
      <c r="C32" s="2" t="s">
        <v>56</v>
      </c>
      <c r="D32" s="2" t="s">
        <v>57</v>
      </c>
      <c r="E32" s="2" t="s">
        <v>41</v>
      </c>
      <c r="F32" s="2" t="s">
        <v>42</v>
      </c>
      <c r="G32" s="2" t="s">
        <v>25</v>
      </c>
      <c r="H32" s="2" t="s">
        <v>26</v>
      </c>
      <c r="I32" s="4">
        <v>145.0</v>
      </c>
      <c r="J32" s="5">
        <v>1690000.0</v>
      </c>
      <c r="K32" s="5">
        <v>1282016.0</v>
      </c>
      <c r="L32" s="2">
        <v>5.0</v>
      </c>
      <c r="M32" s="6">
        <v>4.142</v>
      </c>
      <c r="N32" s="6">
        <v>-73.626</v>
      </c>
      <c r="O32" s="5">
        <f t="shared" si="1"/>
        <v>245050000</v>
      </c>
      <c r="P32" s="5">
        <f t="shared" si="2"/>
        <v>185892320</v>
      </c>
      <c r="Q32" s="5">
        <f t="shared" si="3"/>
        <v>59157680</v>
      </c>
      <c r="R32" s="7">
        <f t="shared" si="4"/>
        <v>0.2414106509</v>
      </c>
      <c r="S32" s="2" t="str">
        <f t="shared" si="5"/>
        <v>2024-04</v>
      </c>
      <c r="T32" s="2" t="str">
        <f t="shared" si="6"/>
        <v>T2-2024</v>
      </c>
    </row>
    <row r="33" ht="15.75" customHeight="1">
      <c r="A33" s="2" t="s">
        <v>90</v>
      </c>
      <c r="B33" s="3">
        <v>45385.0</v>
      </c>
      <c r="C33" s="2" t="s">
        <v>48</v>
      </c>
      <c r="D33" s="2" t="s">
        <v>49</v>
      </c>
      <c r="E33" s="2" t="s">
        <v>67</v>
      </c>
      <c r="F33" s="2" t="s">
        <v>24</v>
      </c>
      <c r="G33" s="2" t="s">
        <v>25</v>
      </c>
      <c r="H33" s="2" t="s">
        <v>78</v>
      </c>
      <c r="I33" s="4">
        <v>148.6</v>
      </c>
      <c r="J33" s="5">
        <v>1.2644E7</v>
      </c>
      <c r="K33" s="5">
        <v>8362889.0</v>
      </c>
      <c r="L33" s="2">
        <v>3.0</v>
      </c>
      <c r="M33" s="6">
        <v>5.339</v>
      </c>
      <c r="N33" s="6">
        <v>-72.395</v>
      </c>
      <c r="O33" s="5">
        <f t="shared" si="1"/>
        <v>1878898400</v>
      </c>
      <c r="P33" s="5">
        <f t="shared" si="2"/>
        <v>1242725305</v>
      </c>
      <c r="Q33" s="5">
        <f t="shared" si="3"/>
        <v>636173094.6</v>
      </c>
      <c r="R33" s="7">
        <f t="shared" si="4"/>
        <v>0.3385883423</v>
      </c>
      <c r="S33" s="2" t="str">
        <f t="shared" si="5"/>
        <v>2024-04</v>
      </c>
      <c r="T33" s="2" t="str">
        <f t="shared" si="6"/>
        <v>T2-2024</v>
      </c>
    </row>
    <row r="34" ht="15.75" customHeight="1">
      <c r="A34" s="2" t="s">
        <v>91</v>
      </c>
      <c r="B34" s="3">
        <v>45385.0</v>
      </c>
      <c r="C34" s="2" t="s">
        <v>32</v>
      </c>
      <c r="D34" s="2" t="s">
        <v>33</v>
      </c>
      <c r="E34" s="2" t="s">
        <v>77</v>
      </c>
      <c r="F34" s="2" t="s">
        <v>35</v>
      </c>
      <c r="G34" s="2" t="s">
        <v>25</v>
      </c>
      <c r="H34" s="2" t="s">
        <v>30</v>
      </c>
      <c r="I34" s="4">
        <v>224.0</v>
      </c>
      <c r="J34" s="5">
        <v>3224000.0</v>
      </c>
      <c r="K34" s="5">
        <v>1907694.0</v>
      </c>
      <c r="L34" s="2">
        <v>5.0</v>
      </c>
      <c r="M34" s="6">
        <v>6.244</v>
      </c>
      <c r="N34" s="6">
        <v>-75.581</v>
      </c>
      <c r="O34" s="5">
        <f t="shared" si="1"/>
        <v>722176000</v>
      </c>
      <c r="P34" s="5">
        <f t="shared" si="2"/>
        <v>427323456</v>
      </c>
      <c r="Q34" s="5">
        <f t="shared" si="3"/>
        <v>294852544</v>
      </c>
      <c r="R34" s="7">
        <f t="shared" si="4"/>
        <v>0.4082834988</v>
      </c>
      <c r="S34" s="2" t="str">
        <f t="shared" si="5"/>
        <v>2024-04</v>
      </c>
      <c r="T34" s="2" t="str">
        <f t="shared" si="6"/>
        <v>T2-2024</v>
      </c>
    </row>
    <row r="35" ht="15.75" customHeight="1">
      <c r="A35" s="2" t="s">
        <v>92</v>
      </c>
      <c r="B35" s="3">
        <v>45387.0</v>
      </c>
      <c r="C35" s="2" t="s">
        <v>51</v>
      </c>
      <c r="D35" s="2" t="s">
        <v>52</v>
      </c>
      <c r="E35" s="2" t="s">
        <v>28</v>
      </c>
      <c r="F35" s="2" t="s">
        <v>29</v>
      </c>
      <c r="G35" s="2" t="s">
        <v>46</v>
      </c>
      <c r="H35" s="2" t="s">
        <v>26</v>
      </c>
      <c r="I35" s="4">
        <v>149.4</v>
      </c>
      <c r="J35" s="5">
        <v>1.1738E7</v>
      </c>
      <c r="K35" s="5">
        <v>9264302.0</v>
      </c>
      <c r="L35" s="2">
        <v>3.0</v>
      </c>
      <c r="M35" s="6">
        <v>4.711</v>
      </c>
      <c r="N35" s="6">
        <v>-74.072</v>
      </c>
      <c r="O35" s="5">
        <f t="shared" si="1"/>
        <v>1753657200</v>
      </c>
      <c r="P35" s="5">
        <f t="shared" si="2"/>
        <v>1384086719</v>
      </c>
      <c r="Q35" s="5">
        <f t="shared" si="3"/>
        <v>369570481.2</v>
      </c>
      <c r="R35" s="7">
        <f t="shared" si="4"/>
        <v>0.210742716</v>
      </c>
      <c r="S35" s="2" t="str">
        <f t="shared" si="5"/>
        <v>2024-04</v>
      </c>
      <c r="T35" s="2" t="str">
        <f t="shared" si="6"/>
        <v>T2-2024</v>
      </c>
    </row>
    <row r="36" ht="15.75" customHeight="1">
      <c r="A36" s="2" t="s">
        <v>93</v>
      </c>
      <c r="B36" s="3">
        <v>45388.0</v>
      </c>
      <c r="C36" s="2" t="s">
        <v>39</v>
      </c>
      <c r="D36" s="2" t="s">
        <v>40</v>
      </c>
      <c r="E36" s="2" t="s">
        <v>67</v>
      </c>
      <c r="F36" s="2" t="s">
        <v>24</v>
      </c>
      <c r="G36" s="2" t="s">
        <v>25</v>
      </c>
      <c r="H36" s="2" t="s">
        <v>30</v>
      </c>
      <c r="I36" s="4">
        <v>88.3</v>
      </c>
      <c r="J36" s="5">
        <v>1.5488E7</v>
      </c>
      <c r="K36" s="5">
        <v>1.122019E7</v>
      </c>
      <c r="L36" s="2">
        <v>5.0</v>
      </c>
      <c r="M36" s="6">
        <v>4.439</v>
      </c>
      <c r="N36" s="6">
        <v>-75.232</v>
      </c>
      <c r="O36" s="5">
        <f t="shared" si="1"/>
        <v>1367590400</v>
      </c>
      <c r="P36" s="5">
        <f t="shared" si="2"/>
        <v>990742777</v>
      </c>
      <c r="Q36" s="5">
        <f t="shared" si="3"/>
        <v>376847623</v>
      </c>
      <c r="R36" s="7">
        <f t="shared" si="4"/>
        <v>0.2755559143</v>
      </c>
      <c r="S36" s="2" t="str">
        <f t="shared" si="5"/>
        <v>2024-04</v>
      </c>
      <c r="T36" s="2" t="str">
        <f t="shared" si="6"/>
        <v>T2-2024</v>
      </c>
    </row>
    <row r="37" ht="15.75" customHeight="1">
      <c r="A37" s="2" t="s">
        <v>94</v>
      </c>
      <c r="B37" s="3">
        <v>45391.0</v>
      </c>
      <c r="C37" s="2" t="s">
        <v>32</v>
      </c>
      <c r="D37" s="2" t="s">
        <v>33</v>
      </c>
      <c r="E37" s="2" t="s">
        <v>53</v>
      </c>
      <c r="F37" s="2" t="s">
        <v>29</v>
      </c>
      <c r="G37" s="2" t="s">
        <v>46</v>
      </c>
      <c r="H37" s="2" t="s">
        <v>37</v>
      </c>
      <c r="I37" s="4">
        <v>106.3</v>
      </c>
      <c r="J37" s="5">
        <v>9177000.0</v>
      </c>
      <c r="K37" s="5">
        <v>6795945.0</v>
      </c>
      <c r="L37" s="2">
        <v>5.0</v>
      </c>
      <c r="M37" s="6">
        <v>6.244</v>
      </c>
      <c r="N37" s="6">
        <v>-75.581</v>
      </c>
      <c r="O37" s="5">
        <f t="shared" si="1"/>
        <v>975515100</v>
      </c>
      <c r="P37" s="5">
        <f t="shared" si="2"/>
        <v>722408953.5</v>
      </c>
      <c r="Q37" s="5">
        <f t="shared" si="3"/>
        <v>253106146.5</v>
      </c>
      <c r="R37" s="7">
        <f t="shared" si="4"/>
        <v>0.2594589735</v>
      </c>
      <c r="S37" s="2" t="str">
        <f t="shared" si="5"/>
        <v>2024-04</v>
      </c>
      <c r="T37" s="2" t="str">
        <f t="shared" si="6"/>
        <v>T2-2024</v>
      </c>
    </row>
    <row r="38" ht="15.75" customHeight="1">
      <c r="A38" s="2" t="s">
        <v>95</v>
      </c>
      <c r="B38" s="3">
        <v>45391.0</v>
      </c>
      <c r="C38" s="2" t="s">
        <v>21</v>
      </c>
      <c r="D38" s="2" t="s">
        <v>22</v>
      </c>
      <c r="E38" s="2" t="s">
        <v>65</v>
      </c>
      <c r="F38" s="2" t="s">
        <v>42</v>
      </c>
      <c r="G38" s="2" t="s">
        <v>25</v>
      </c>
      <c r="H38" s="2" t="s">
        <v>26</v>
      </c>
      <c r="I38" s="4">
        <v>150.5</v>
      </c>
      <c r="J38" s="5">
        <v>3274000.0</v>
      </c>
      <c r="K38" s="5">
        <v>1993573.0</v>
      </c>
      <c r="L38" s="2">
        <v>3.0</v>
      </c>
      <c r="M38" s="6">
        <v>6.189</v>
      </c>
      <c r="N38" s="6">
        <v>-67.486</v>
      </c>
      <c r="O38" s="5">
        <f t="shared" si="1"/>
        <v>492737000</v>
      </c>
      <c r="P38" s="5">
        <f t="shared" si="2"/>
        <v>300032736.5</v>
      </c>
      <c r="Q38" s="5">
        <f t="shared" si="3"/>
        <v>192704263.5</v>
      </c>
      <c r="R38" s="7">
        <f t="shared" si="4"/>
        <v>0.391089493</v>
      </c>
      <c r="S38" s="2" t="str">
        <f t="shared" si="5"/>
        <v>2024-04</v>
      </c>
      <c r="T38" s="2" t="str">
        <f t="shared" si="6"/>
        <v>T2-2024</v>
      </c>
    </row>
    <row r="39" ht="15.75" customHeight="1">
      <c r="A39" s="2" t="s">
        <v>96</v>
      </c>
      <c r="B39" s="3">
        <v>45392.0</v>
      </c>
      <c r="C39" s="2" t="s">
        <v>39</v>
      </c>
      <c r="D39" s="2" t="s">
        <v>40</v>
      </c>
      <c r="E39" s="2" t="s">
        <v>65</v>
      </c>
      <c r="F39" s="2" t="s">
        <v>42</v>
      </c>
      <c r="G39" s="2" t="s">
        <v>43</v>
      </c>
      <c r="H39" s="2" t="s">
        <v>26</v>
      </c>
      <c r="I39" s="4">
        <v>244.5</v>
      </c>
      <c r="J39" s="5">
        <v>3374000.0</v>
      </c>
      <c r="K39" s="5">
        <v>2516277.0</v>
      </c>
      <c r="L39" s="2">
        <v>2.0</v>
      </c>
      <c r="M39" s="6">
        <v>4.439</v>
      </c>
      <c r="N39" s="6">
        <v>-75.232</v>
      </c>
      <c r="O39" s="5">
        <f t="shared" si="1"/>
        <v>824943000</v>
      </c>
      <c r="P39" s="5">
        <f t="shared" si="2"/>
        <v>615229726.5</v>
      </c>
      <c r="Q39" s="5">
        <f t="shared" si="3"/>
        <v>209713273.5</v>
      </c>
      <c r="R39" s="7">
        <f t="shared" si="4"/>
        <v>0.2542154713</v>
      </c>
      <c r="S39" s="2" t="str">
        <f t="shared" si="5"/>
        <v>2024-04</v>
      </c>
      <c r="T39" s="2" t="str">
        <f t="shared" si="6"/>
        <v>T2-2024</v>
      </c>
    </row>
    <row r="40" ht="15.75" customHeight="1">
      <c r="A40" s="2" t="s">
        <v>97</v>
      </c>
      <c r="B40" s="3">
        <v>45397.0</v>
      </c>
      <c r="C40" s="2" t="s">
        <v>51</v>
      </c>
      <c r="D40" s="2" t="s">
        <v>52</v>
      </c>
      <c r="E40" s="2" t="s">
        <v>65</v>
      </c>
      <c r="F40" s="2" t="s">
        <v>42</v>
      </c>
      <c r="G40" s="2" t="s">
        <v>46</v>
      </c>
      <c r="H40" s="2" t="s">
        <v>78</v>
      </c>
      <c r="I40" s="4">
        <v>126.1</v>
      </c>
      <c r="J40" s="5">
        <v>3074000.0</v>
      </c>
      <c r="K40" s="5">
        <v>1907601.0</v>
      </c>
      <c r="L40" s="2">
        <v>1.0</v>
      </c>
      <c r="M40" s="6">
        <v>4.711</v>
      </c>
      <c r="N40" s="6">
        <v>-74.072</v>
      </c>
      <c r="O40" s="5">
        <f t="shared" si="1"/>
        <v>387631400</v>
      </c>
      <c r="P40" s="5">
        <f t="shared" si="2"/>
        <v>240548486.1</v>
      </c>
      <c r="Q40" s="5">
        <f t="shared" si="3"/>
        <v>147082913.9</v>
      </c>
      <c r="R40" s="7">
        <f t="shared" si="4"/>
        <v>0.3794401431</v>
      </c>
      <c r="S40" s="2" t="str">
        <f t="shared" si="5"/>
        <v>2024-04</v>
      </c>
      <c r="T40" s="2" t="str">
        <f t="shared" si="6"/>
        <v>T2-2024</v>
      </c>
    </row>
    <row r="41" ht="15.75" customHeight="1">
      <c r="A41" s="2" t="s">
        <v>98</v>
      </c>
      <c r="B41" s="3">
        <v>45397.0</v>
      </c>
      <c r="C41" s="2" t="s">
        <v>21</v>
      </c>
      <c r="D41" s="2" t="s">
        <v>22</v>
      </c>
      <c r="E41" s="2" t="s">
        <v>41</v>
      </c>
      <c r="F41" s="2" t="s">
        <v>42</v>
      </c>
      <c r="G41" s="2" t="s">
        <v>46</v>
      </c>
      <c r="H41" s="2" t="s">
        <v>30</v>
      </c>
      <c r="I41" s="4">
        <v>90.0</v>
      </c>
      <c r="J41" s="5">
        <v>1867000.0</v>
      </c>
      <c r="K41" s="5">
        <v>1257883.0</v>
      </c>
      <c r="L41" s="2">
        <v>4.0</v>
      </c>
      <c r="M41" s="6">
        <v>6.189</v>
      </c>
      <c r="N41" s="6">
        <v>-67.486</v>
      </c>
      <c r="O41" s="5">
        <f t="shared" si="1"/>
        <v>168030000</v>
      </c>
      <c r="P41" s="5">
        <f t="shared" si="2"/>
        <v>113209470</v>
      </c>
      <c r="Q41" s="5">
        <f t="shared" si="3"/>
        <v>54820530</v>
      </c>
      <c r="R41" s="7">
        <f t="shared" si="4"/>
        <v>0.3262544189</v>
      </c>
      <c r="S41" s="2" t="str">
        <f t="shared" si="5"/>
        <v>2024-04</v>
      </c>
      <c r="T41" s="2" t="str">
        <f t="shared" si="6"/>
        <v>T2-2024</v>
      </c>
    </row>
    <row r="42" ht="15.75" customHeight="1">
      <c r="A42" s="2" t="s">
        <v>99</v>
      </c>
      <c r="B42" s="3">
        <v>45405.0</v>
      </c>
      <c r="C42" s="2" t="s">
        <v>39</v>
      </c>
      <c r="D42" s="2" t="s">
        <v>40</v>
      </c>
      <c r="E42" s="2" t="s">
        <v>61</v>
      </c>
      <c r="F42" s="2" t="s">
        <v>62</v>
      </c>
      <c r="G42" s="2" t="s">
        <v>43</v>
      </c>
      <c r="H42" s="2" t="s">
        <v>78</v>
      </c>
      <c r="I42" s="4">
        <v>111.5</v>
      </c>
      <c r="J42" s="5">
        <v>1357000.0</v>
      </c>
      <c r="K42" s="5">
        <v>800619.0</v>
      </c>
      <c r="L42" s="2">
        <v>4.0</v>
      </c>
      <c r="M42" s="6">
        <v>4.439</v>
      </c>
      <c r="N42" s="6">
        <v>-75.232</v>
      </c>
      <c r="O42" s="5">
        <f t="shared" si="1"/>
        <v>151305500</v>
      </c>
      <c r="P42" s="5">
        <f t="shared" si="2"/>
        <v>89269018.5</v>
      </c>
      <c r="Q42" s="5">
        <f t="shared" si="3"/>
        <v>62036481.5</v>
      </c>
      <c r="R42" s="7">
        <f t="shared" si="4"/>
        <v>0.4100081061</v>
      </c>
      <c r="S42" s="2" t="str">
        <f t="shared" si="5"/>
        <v>2024-04</v>
      </c>
      <c r="T42" s="2" t="str">
        <f t="shared" si="6"/>
        <v>T2-2024</v>
      </c>
    </row>
    <row r="43" ht="15.75" customHeight="1">
      <c r="A43" s="2" t="s">
        <v>100</v>
      </c>
      <c r="B43" s="3">
        <v>45406.0</v>
      </c>
      <c r="C43" s="2" t="s">
        <v>39</v>
      </c>
      <c r="D43" s="2" t="s">
        <v>40</v>
      </c>
      <c r="E43" s="2" t="s">
        <v>65</v>
      </c>
      <c r="F43" s="2" t="s">
        <v>42</v>
      </c>
      <c r="G43" s="2" t="s">
        <v>46</v>
      </c>
      <c r="H43" s="2" t="s">
        <v>54</v>
      </c>
      <c r="I43" s="4">
        <v>64.4</v>
      </c>
      <c r="J43" s="5">
        <v>3277000.0</v>
      </c>
      <c r="K43" s="5">
        <v>1974553.0</v>
      </c>
      <c r="L43" s="2">
        <v>5.0</v>
      </c>
      <c r="M43" s="6">
        <v>4.439</v>
      </c>
      <c r="N43" s="6">
        <v>-75.232</v>
      </c>
      <c r="O43" s="5">
        <f t="shared" si="1"/>
        <v>211038800</v>
      </c>
      <c r="P43" s="5">
        <f t="shared" si="2"/>
        <v>127161213.2</v>
      </c>
      <c r="Q43" s="5">
        <f t="shared" si="3"/>
        <v>83877586.8</v>
      </c>
      <c r="R43" s="7">
        <f t="shared" si="4"/>
        <v>0.3974510223</v>
      </c>
      <c r="S43" s="2" t="str">
        <f t="shared" si="5"/>
        <v>2024-04</v>
      </c>
      <c r="T43" s="2" t="str">
        <f t="shared" si="6"/>
        <v>T2-2024</v>
      </c>
    </row>
    <row r="44" ht="15.75" customHeight="1">
      <c r="A44" s="2" t="s">
        <v>101</v>
      </c>
      <c r="B44" s="3">
        <v>45410.0</v>
      </c>
      <c r="C44" s="2" t="s">
        <v>32</v>
      </c>
      <c r="D44" s="2" t="s">
        <v>33</v>
      </c>
      <c r="E44" s="2" t="s">
        <v>28</v>
      </c>
      <c r="F44" s="2" t="s">
        <v>29</v>
      </c>
      <c r="G44" s="2" t="s">
        <v>43</v>
      </c>
      <c r="H44" s="2" t="s">
        <v>26</v>
      </c>
      <c r="I44" s="4">
        <v>258.0</v>
      </c>
      <c r="J44" s="5">
        <v>1.3222E7</v>
      </c>
      <c r="K44" s="5">
        <v>9012575.0</v>
      </c>
      <c r="L44" s="2">
        <v>1.0</v>
      </c>
      <c r="M44" s="6">
        <v>6.244</v>
      </c>
      <c r="N44" s="6">
        <v>-75.581</v>
      </c>
      <c r="O44" s="5">
        <f t="shared" si="1"/>
        <v>3411276000</v>
      </c>
      <c r="P44" s="5">
        <f t="shared" si="2"/>
        <v>2325244350</v>
      </c>
      <c r="Q44" s="5">
        <f t="shared" si="3"/>
        <v>1086031650</v>
      </c>
      <c r="R44" s="7">
        <f t="shared" si="4"/>
        <v>0.3183652246</v>
      </c>
      <c r="S44" s="2" t="str">
        <f t="shared" si="5"/>
        <v>2024-04</v>
      </c>
      <c r="T44" s="2" t="str">
        <f t="shared" si="6"/>
        <v>T2-2024</v>
      </c>
    </row>
    <row r="45" ht="15.75" customHeight="1">
      <c r="A45" s="2" t="s">
        <v>102</v>
      </c>
      <c r="B45" s="3">
        <v>45414.0</v>
      </c>
      <c r="C45" s="2" t="s">
        <v>48</v>
      </c>
      <c r="D45" s="2" t="s">
        <v>49</v>
      </c>
      <c r="E45" s="2" t="s">
        <v>23</v>
      </c>
      <c r="F45" s="2" t="s">
        <v>24</v>
      </c>
      <c r="G45" s="2" t="s">
        <v>43</v>
      </c>
      <c r="H45" s="2" t="s">
        <v>37</v>
      </c>
      <c r="I45" s="4">
        <v>13.4</v>
      </c>
      <c r="J45" s="5">
        <v>1583000.0</v>
      </c>
      <c r="K45" s="5">
        <v>1064139.0</v>
      </c>
      <c r="L45" s="2">
        <v>5.0</v>
      </c>
      <c r="M45" s="6">
        <v>5.339</v>
      </c>
      <c r="N45" s="6">
        <v>-72.395</v>
      </c>
      <c r="O45" s="5">
        <f t="shared" si="1"/>
        <v>21212200</v>
      </c>
      <c r="P45" s="5">
        <f t="shared" si="2"/>
        <v>14259462.6</v>
      </c>
      <c r="Q45" s="5">
        <f t="shared" si="3"/>
        <v>6952737.4</v>
      </c>
      <c r="R45" s="7">
        <f t="shared" si="4"/>
        <v>0.3277706886</v>
      </c>
      <c r="S45" s="2" t="str">
        <f t="shared" si="5"/>
        <v>2024-05</v>
      </c>
      <c r="T45" s="2" t="str">
        <f t="shared" si="6"/>
        <v>T2-2024</v>
      </c>
    </row>
    <row r="46" ht="15.75" customHeight="1">
      <c r="A46" s="2" t="s">
        <v>103</v>
      </c>
      <c r="B46" s="3">
        <v>45414.0</v>
      </c>
      <c r="C46" s="2" t="s">
        <v>60</v>
      </c>
      <c r="D46" s="2" t="s">
        <v>60</v>
      </c>
      <c r="E46" s="2" t="s">
        <v>65</v>
      </c>
      <c r="F46" s="2" t="s">
        <v>42</v>
      </c>
      <c r="G46" s="2" t="s">
        <v>25</v>
      </c>
      <c r="H46" s="2" t="s">
        <v>54</v>
      </c>
      <c r="I46" s="4">
        <v>41.7</v>
      </c>
      <c r="J46" s="5">
        <v>3172000.0</v>
      </c>
      <c r="K46" s="5">
        <v>2330810.0</v>
      </c>
      <c r="L46" s="2">
        <v>5.0</v>
      </c>
      <c r="M46" s="6">
        <v>7.084</v>
      </c>
      <c r="N46" s="6">
        <v>-70.759</v>
      </c>
      <c r="O46" s="5">
        <f t="shared" si="1"/>
        <v>132272400</v>
      </c>
      <c r="P46" s="5">
        <f t="shared" si="2"/>
        <v>97194777</v>
      </c>
      <c r="Q46" s="5">
        <f t="shared" si="3"/>
        <v>35077623</v>
      </c>
      <c r="R46" s="7">
        <f t="shared" si="4"/>
        <v>0.2651923077</v>
      </c>
      <c r="S46" s="2" t="str">
        <f t="shared" si="5"/>
        <v>2024-05</v>
      </c>
      <c r="T46" s="2" t="str">
        <f t="shared" si="6"/>
        <v>T2-2024</v>
      </c>
    </row>
    <row r="47" ht="15.75" customHeight="1">
      <c r="A47" s="2" t="s">
        <v>104</v>
      </c>
      <c r="B47" s="3">
        <v>45415.0</v>
      </c>
      <c r="C47" s="2" t="s">
        <v>32</v>
      </c>
      <c r="D47" s="2" t="s">
        <v>33</v>
      </c>
      <c r="E47" s="2" t="s">
        <v>23</v>
      </c>
      <c r="F47" s="2" t="s">
        <v>24</v>
      </c>
      <c r="G47" s="2" t="s">
        <v>63</v>
      </c>
      <c r="H47" s="2" t="s">
        <v>30</v>
      </c>
      <c r="I47" s="4">
        <v>92.8</v>
      </c>
      <c r="J47" s="5">
        <v>1879000.0</v>
      </c>
      <c r="K47" s="5">
        <v>1118325.0</v>
      </c>
      <c r="L47" s="2">
        <v>3.0</v>
      </c>
      <c r="M47" s="6">
        <v>6.244</v>
      </c>
      <c r="N47" s="6">
        <v>-75.581</v>
      </c>
      <c r="O47" s="5">
        <f t="shared" si="1"/>
        <v>174371200</v>
      </c>
      <c r="P47" s="5">
        <f t="shared" si="2"/>
        <v>103780560</v>
      </c>
      <c r="Q47" s="5">
        <f t="shared" si="3"/>
        <v>70590640</v>
      </c>
      <c r="R47" s="7">
        <f t="shared" si="4"/>
        <v>0.4048296966</v>
      </c>
      <c r="S47" s="2" t="str">
        <f t="shared" si="5"/>
        <v>2024-05</v>
      </c>
      <c r="T47" s="2" t="str">
        <f t="shared" si="6"/>
        <v>T2-2024</v>
      </c>
    </row>
    <row r="48" ht="15.75" customHeight="1">
      <c r="A48" s="2" t="s">
        <v>105</v>
      </c>
      <c r="B48" s="3">
        <v>45419.0</v>
      </c>
      <c r="C48" s="2" t="s">
        <v>56</v>
      </c>
      <c r="D48" s="2" t="s">
        <v>57</v>
      </c>
      <c r="E48" s="2" t="s">
        <v>28</v>
      </c>
      <c r="F48" s="2" t="s">
        <v>29</v>
      </c>
      <c r="G48" s="2" t="s">
        <v>43</v>
      </c>
      <c r="H48" s="2" t="s">
        <v>30</v>
      </c>
      <c r="I48" s="4">
        <v>321.2</v>
      </c>
      <c r="J48" s="5">
        <v>1.3533E7</v>
      </c>
      <c r="K48" s="5">
        <v>1.048536E7</v>
      </c>
      <c r="L48" s="2">
        <v>3.0</v>
      </c>
      <c r="M48" s="6">
        <v>4.142</v>
      </c>
      <c r="N48" s="6">
        <v>-73.626</v>
      </c>
      <c r="O48" s="5">
        <f t="shared" si="1"/>
        <v>4346799600</v>
      </c>
      <c r="P48" s="5">
        <f t="shared" si="2"/>
        <v>3367897632</v>
      </c>
      <c r="Q48" s="5">
        <f t="shared" si="3"/>
        <v>978901968</v>
      </c>
      <c r="R48" s="7">
        <f t="shared" si="4"/>
        <v>0.2252006207</v>
      </c>
      <c r="S48" s="2" t="str">
        <f t="shared" si="5"/>
        <v>2024-05</v>
      </c>
      <c r="T48" s="2" t="str">
        <f t="shared" si="6"/>
        <v>T2-2024</v>
      </c>
    </row>
    <row r="49" ht="15.75" customHeight="1">
      <c r="A49" s="2" t="s">
        <v>106</v>
      </c>
      <c r="B49" s="3">
        <v>45419.0</v>
      </c>
      <c r="C49" s="2" t="s">
        <v>39</v>
      </c>
      <c r="D49" s="2" t="s">
        <v>40</v>
      </c>
      <c r="E49" s="2" t="s">
        <v>88</v>
      </c>
      <c r="F49" s="2" t="s">
        <v>62</v>
      </c>
      <c r="G49" s="2" t="s">
        <v>46</v>
      </c>
      <c r="H49" s="2" t="s">
        <v>58</v>
      </c>
      <c r="I49" s="4">
        <v>76.9</v>
      </c>
      <c r="J49" s="5">
        <v>1439000.0</v>
      </c>
      <c r="K49" s="5">
        <v>993059.0</v>
      </c>
      <c r="L49" s="2">
        <v>4.0</v>
      </c>
      <c r="M49" s="6">
        <v>4.439</v>
      </c>
      <c r="N49" s="6">
        <v>-75.232</v>
      </c>
      <c r="O49" s="5">
        <f t="shared" si="1"/>
        <v>110659100</v>
      </c>
      <c r="P49" s="5">
        <f t="shared" si="2"/>
        <v>76366237.1</v>
      </c>
      <c r="Q49" s="5">
        <f t="shared" si="3"/>
        <v>34292862.9</v>
      </c>
      <c r="R49" s="7">
        <f t="shared" si="4"/>
        <v>0.3098964559</v>
      </c>
      <c r="S49" s="2" t="str">
        <f t="shared" si="5"/>
        <v>2024-05</v>
      </c>
      <c r="T49" s="2" t="str">
        <f t="shared" si="6"/>
        <v>T2-2024</v>
      </c>
    </row>
    <row r="50" ht="15.75" customHeight="1">
      <c r="A50" s="2" t="s">
        <v>107</v>
      </c>
      <c r="B50" s="3">
        <v>45420.0</v>
      </c>
      <c r="C50" s="2" t="s">
        <v>39</v>
      </c>
      <c r="D50" s="2" t="s">
        <v>40</v>
      </c>
      <c r="E50" s="2" t="s">
        <v>34</v>
      </c>
      <c r="F50" s="2" t="s">
        <v>35</v>
      </c>
      <c r="G50" s="2" t="s">
        <v>25</v>
      </c>
      <c r="H50" s="2" t="s">
        <v>37</v>
      </c>
      <c r="I50" s="4">
        <v>57.6</v>
      </c>
      <c r="J50" s="5">
        <v>2870000.0</v>
      </c>
      <c r="K50" s="5">
        <v>2215454.0</v>
      </c>
      <c r="L50" s="2">
        <v>4.0</v>
      </c>
      <c r="M50" s="6">
        <v>4.439</v>
      </c>
      <c r="N50" s="6">
        <v>-75.232</v>
      </c>
      <c r="O50" s="5">
        <f t="shared" si="1"/>
        <v>165312000</v>
      </c>
      <c r="P50" s="5">
        <f t="shared" si="2"/>
        <v>127610150.4</v>
      </c>
      <c r="Q50" s="5">
        <f t="shared" si="3"/>
        <v>37701849.6</v>
      </c>
      <c r="R50" s="7">
        <f t="shared" si="4"/>
        <v>0.2280648084</v>
      </c>
      <c r="S50" s="2" t="str">
        <f t="shared" si="5"/>
        <v>2024-05</v>
      </c>
      <c r="T50" s="2" t="str">
        <f t="shared" si="6"/>
        <v>T2-2024</v>
      </c>
    </row>
    <row r="51" ht="15.75" customHeight="1">
      <c r="A51" s="2" t="s">
        <v>108</v>
      </c>
      <c r="B51" s="3">
        <v>45421.0</v>
      </c>
      <c r="C51" s="2" t="s">
        <v>56</v>
      </c>
      <c r="D51" s="2" t="s">
        <v>57</v>
      </c>
      <c r="E51" s="2" t="s">
        <v>61</v>
      </c>
      <c r="F51" s="2" t="s">
        <v>62</v>
      </c>
      <c r="G51" s="2" t="s">
        <v>63</v>
      </c>
      <c r="H51" s="2" t="s">
        <v>37</v>
      </c>
      <c r="I51" s="4">
        <v>65.6</v>
      </c>
      <c r="J51" s="5">
        <v>1683000.0</v>
      </c>
      <c r="K51" s="5">
        <v>1022896.0</v>
      </c>
      <c r="L51" s="2">
        <v>4.0</v>
      </c>
      <c r="M51" s="6">
        <v>4.142</v>
      </c>
      <c r="N51" s="6">
        <v>-73.626</v>
      </c>
      <c r="O51" s="5">
        <f t="shared" si="1"/>
        <v>110404800</v>
      </c>
      <c r="P51" s="5">
        <f t="shared" si="2"/>
        <v>67101977.6</v>
      </c>
      <c r="Q51" s="5">
        <f t="shared" si="3"/>
        <v>43302822.4</v>
      </c>
      <c r="R51" s="7">
        <f t="shared" si="4"/>
        <v>0.3922186572</v>
      </c>
      <c r="S51" s="2" t="str">
        <f t="shared" si="5"/>
        <v>2024-05</v>
      </c>
      <c r="T51" s="2" t="str">
        <f t="shared" si="6"/>
        <v>T2-2024</v>
      </c>
    </row>
    <row r="52" ht="15.75" customHeight="1">
      <c r="A52" s="2" t="s">
        <v>109</v>
      </c>
      <c r="B52" s="3">
        <v>45421.0</v>
      </c>
      <c r="C52" s="2" t="s">
        <v>51</v>
      </c>
      <c r="D52" s="2" t="s">
        <v>52</v>
      </c>
      <c r="E52" s="2" t="s">
        <v>61</v>
      </c>
      <c r="F52" s="2" t="s">
        <v>62</v>
      </c>
      <c r="G52" s="2" t="s">
        <v>43</v>
      </c>
      <c r="H52" s="2" t="s">
        <v>37</v>
      </c>
      <c r="I52" s="4">
        <v>147.7</v>
      </c>
      <c r="J52" s="5">
        <v>1395000.0</v>
      </c>
      <c r="K52" s="5">
        <v>1114351.0</v>
      </c>
      <c r="L52" s="2">
        <v>5.0</v>
      </c>
      <c r="M52" s="6">
        <v>4.711</v>
      </c>
      <c r="N52" s="6">
        <v>-74.072</v>
      </c>
      <c r="O52" s="5">
        <f t="shared" si="1"/>
        <v>206041500</v>
      </c>
      <c r="P52" s="5">
        <f t="shared" si="2"/>
        <v>164589642.7</v>
      </c>
      <c r="Q52" s="5">
        <f t="shared" si="3"/>
        <v>41451857.3</v>
      </c>
      <c r="R52" s="7">
        <f t="shared" si="4"/>
        <v>0.2011820789</v>
      </c>
      <c r="S52" s="2" t="str">
        <f t="shared" si="5"/>
        <v>2024-05</v>
      </c>
      <c r="T52" s="2" t="str">
        <f t="shared" si="6"/>
        <v>T2-2024</v>
      </c>
    </row>
    <row r="53" ht="15.75" customHeight="1">
      <c r="A53" s="2" t="s">
        <v>110</v>
      </c>
      <c r="B53" s="3">
        <v>45424.0</v>
      </c>
      <c r="C53" s="2" t="s">
        <v>39</v>
      </c>
      <c r="D53" s="2" t="s">
        <v>40</v>
      </c>
      <c r="E53" s="2" t="s">
        <v>23</v>
      </c>
      <c r="F53" s="2" t="s">
        <v>24</v>
      </c>
      <c r="G53" s="2" t="s">
        <v>63</v>
      </c>
      <c r="H53" s="2" t="s">
        <v>30</v>
      </c>
      <c r="I53" s="4">
        <v>97.0</v>
      </c>
      <c r="J53" s="5">
        <v>1836000.0</v>
      </c>
      <c r="K53" s="5">
        <v>1393342.0</v>
      </c>
      <c r="L53" s="2">
        <v>5.0</v>
      </c>
      <c r="M53" s="6">
        <v>4.439</v>
      </c>
      <c r="N53" s="6">
        <v>-75.232</v>
      </c>
      <c r="O53" s="5">
        <f t="shared" si="1"/>
        <v>178092000</v>
      </c>
      <c r="P53" s="5">
        <f t="shared" si="2"/>
        <v>135154174</v>
      </c>
      <c r="Q53" s="5">
        <f t="shared" si="3"/>
        <v>42937826</v>
      </c>
      <c r="R53" s="7">
        <f t="shared" si="4"/>
        <v>0.2410991285</v>
      </c>
      <c r="S53" s="2" t="str">
        <f t="shared" si="5"/>
        <v>2024-05</v>
      </c>
      <c r="T53" s="2" t="str">
        <f t="shared" si="6"/>
        <v>T2-2024</v>
      </c>
    </row>
    <row r="54" ht="15.75" customHeight="1">
      <c r="A54" s="2" t="s">
        <v>111</v>
      </c>
      <c r="B54" s="3">
        <v>45426.0</v>
      </c>
      <c r="C54" s="2" t="s">
        <v>60</v>
      </c>
      <c r="D54" s="2" t="s">
        <v>60</v>
      </c>
      <c r="E54" s="2" t="s">
        <v>61</v>
      </c>
      <c r="F54" s="2" t="s">
        <v>62</v>
      </c>
      <c r="G54" s="2" t="s">
        <v>25</v>
      </c>
      <c r="H54" s="2" t="s">
        <v>26</v>
      </c>
      <c r="I54" s="4">
        <v>14.1</v>
      </c>
      <c r="J54" s="5">
        <v>1522000.0</v>
      </c>
      <c r="K54" s="5">
        <v>1086635.0</v>
      </c>
      <c r="L54" s="2">
        <v>2.0</v>
      </c>
      <c r="M54" s="6">
        <v>7.084</v>
      </c>
      <c r="N54" s="6">
        <v>-70.759</v>
      </c>
      <c r="O54" s="5">
        <f t="shared" si="1"/>
        <v>21460200</v>
      </c>
      <c r="P54" s="5">
        <f t="shared" si="2"/>
        <v>15321553.5</v>
      </c>
      <c r="Q54" s="5">
        <f t="shared" si="3"/>
        <v>6138646.5</v>
      </c>
      <c r="R54" s="7">
        <f t="shared" si="4"/>
        <v>0.2860479632</v>
      </c>
      <c r="S54" s="2" t="str">
        <f t="shared" si="5"/>
        <v>2024-05</v>
      </c>
      <c r="T54" s="2" t="str">
        <f t="shared" si="6"/>
        <v>T2-2024</v>
      </c>
    </row>
    <row r="55" ht="15.75" customHeight="1">
      <c r="A55" s="2" t="s">
        <v>112</v>
      </c>
      <c r="B55" s="3">
        <v>45437.0</v>
      </c>
      <c r="C55" s="2" t="s">
        <v>56</v>
      </c>
      <c r="D55" s="2" t="s">
        <v>57</v>
      </c>
      <c r="E55" s="2" t="s">
        <v>41</v>
      </c>
      <c r="F55" s="2" t="s">
        <v>42</v>
      </c>
      <c r="G55" s="2" t="s">
        <v>36</v>
      </c>
      <c r="H55" s="2" t="s">
        <v>30</v>
      </c>
      <c r="I55" s="4">
        <v>117.5</v>
      </c>
      <c r="J55" s="5">
        <v>1791000.0</v>
      </c>
      <c r="K55" s="5">
        <v>1401748.0</v>
      </c>
      <c r="L55" s="2">
        <v>4.0</v>
      </c>
      <c r="M55" s="6">
        <v>4.142</v>
      </c>
      <c r="N55" s="6">
        <v>-73.626</v>
      </c>
      <c r="O55" s="5">
        <f t="shared" si="1"/>
        <v>210442500</v>
      </c>
      <c r="P55" s="5">
        <f t="shared" si="2"/>
        <v>164705390</v>
      </c>
      <c r="Q55" s="5">
        <f t="shared" si="3"/>
        <v>45737110</v>
      </c>
      <c r="R55" s="7">
        <f t="shared" si="4"/>
        <v>0.2173378001</v>
      </c>
      <c r="S55" s="2" t="str">
        <f t="shared" si="5"/>
        <v>2024-05</v>
      </c>
      <c r="T55" s="2" t="str">
        <f t="shared" si="6"/>
        <v>T2-2024</v>
      </c>
    </row>
    <row r="56" ht="15.75" customHeight="1">
      <c r="A56" s="2" t="s">
        <v>113</v>
      </c>
      <c r="B56" s="3">
        <v>45438.0</v>
      </c>
      <c r="C56" s="2" t="s">
        <v>48</v>
      </c>
      <c r="D56" s="2" t="s">
        <v>49</v>
      </c>
      <c r="E56" s="2" t="s">
        <v>61</v>
      </c>
      <c r="F56" s="2" t="s">
        <v>62</v>
      </c>
      <c r="G56" s="2" t="s">
        <v>36</v>
      </c>
      <c r="H56" s="2" t="s">
        <v>58</v>
      </c>
      <c r="I56" s="4">
        <v>118.2</v>
      </c>
      <c r="J56" s="5">
        <v>1334000.0</v>
      </c>
      <c r="K56" s="5">
        <v>992954.0</v>
      </c>
      <c r="L56" s="2">
        <v>4.0</v>
      </c>
      <c r="M56" s="6">
        <v>5.339</v>
      </c>
      <c r="N56" s="6">
        <v>-72.395</v>
      </c>
      <c r="O56" s="5">
        <f t="shared" si="1"/>
        <v>157678800</v>
      </c>
      <c r="P56" s="5">
        <f t="shared" si="2"/>
        <v>117367162.8</v>
      </c>
      <c r="Q56" s="5">
        <f t="shared" si="3"/>
        <v>40311637.2</v>
      </c>
      <c r="R56" s="7">
        <f t="shared" si="4"/>
        <v>0.2556566717</v>
      </c>
      <c r="S56" s="2" t="str">
        <f t="shared" si="5"/>
        <v>2024-05</v>
      </c>
      <c r="T56" s="2" t="str">
        <f t="shared" si="6"/>
        <v>T2-2024</v>
      </c>
    </row>
    <row r="57" ht="15.75" customHeight="1">
      <c r="A57" s="2" t="s">
        <v>114</v>
      </c>
      <c r="B57" s="3">
        <v>45438.0</v>
      </c>
      <c r="C57" s="2" t="s">
        <v>60</v>
      </c>
      <c r="D57" s="2" t="s">
        <v>60</v>
      </c>
      <c r="E57" s="2" t="s">
        <v>77</v>
      </c>
      <c r="F57" s="2" t="s">
        <v>35</v>
      </c>
      <c r="G57" s="2" t="s">
        <v>46</v>
      </c>
      <c r="H57" s="2" t="s">
        <v>78</v>
      </c>
      <c r="I57" s="4">
        <v>68.7</v>
      </c>
      <c r="J57" s="5">
        <v>2809000.0</v>
      </c>
      <c r="K57" s="5">
        <v>2184727.0</v>
      </c>
      <c r="L57" s="2">
        <v>4.0</v>
      </c>
      <c r="M57" s="6">
        <v>7.084</v>
      </c>
      <c r="N57" s="6">
        <v>-70.759</v>
      </c>
      <c r="O57" s="5">
        <f t="shared" si="1"/>
        <v>192978300</v>
      </c>
      <c r="P57" s="5">
        <f t="shared" si="2"/>
        <v>150090744.9</v>
      </c>
      <c r="Q57" s="5">
        <f t="shared" si="3"/>
        <v>42887555.1</v>
      </c>
      <c r="R57" s="7">
        <f t="shared" si="4"/>
        <v>0.222240299</v>
      </c>
      <c r="S57" s="2" t="str">
        <f t="shared" si="5"/>
        <v>2024-05</v>
      </c>
      <c r="T57" s="2" t="str">
        <f t="shared" si="6"/>
        <v>T2-2024</v>
      </c>
    </row>
    <row r="58" ht="15.75" customHeight="1">
      <c r="A58" s="2" t="s">
        <v>115</v>
      </c>
      <c r="B58" s="3">
        <v>45439.0</v>
      </c>
      <c r="C58" s="2" t="s">
        <v>60</v>
      </c>
      <c r="D58" s="2" t="s">
        <v>60</v>
      </c>
      <c r="E58" s="2" t="s">
        <v>61</v>
      </c>
      <c r="F58" s="2" t="s">
        <v>62</v>
      </c>
      <c r="G58" s="2" t="s">
        <v>63</v>
      </c>
      <c r="H58" s="2" t="s">
        <v>37</v>
      </c>
      <c r="I58" s="4">
        <v>77.5</v>
      </c>
      <c r="J58" s="5">
        <v>1492000.0</v>
      </c>
      <c r="K58" s="5">
        <v>1002094.0</v>
      </c>
      <c r="L58" s="2">
        <v>1.0</v>
      </c>
      <c r="M58" s="6">
        <v>7.084</v>
      </c>
      <c r="N58" s="6">
        <v>-70.759</v>
      </c>
      <c r="O58" s="5">
        <f t="shared" si="1"/>
        <v>115630000</v>
      </c>
      <c r="P58" s="5">
        <f t="shared" si="2"/>
        <v>77662285</v>
      </c>
      <c r="Q58" s="5">
        <f t="shared" si="3"/>
        <v>37967715</v>
      </c>
      <c r="R58" s="7">
        <f t="shared" si="4"/>
        <v>0.3283552279</v>
      </c>
      <c r="S58" s="2" t="str">
        <f t="shared" si="5"/>
        <v>2024-05</v>
      </c>
      <c r="T58" s="2" t="str">
        <f t="shared" si="6"/>
        <v>T2-2024</v>
      </c>
    </row>
    <row r="59" ht="15.75" customHeight="1">
      <c r="A59" s="2" t="s">
        <v>116</v>
      </c>
      <c r="B59" s="3">
        <v>45441.0</v>
      </c>
      <c r="C59" s="2" t="s">
        <v>56</v>
      </c>
      <c r="D59" s="2" t="s">
        <v>57</v>
      </c>
      <c r="E59" s="2" t="s">
        <v>34</v>
      </c>
      <c r="F59" s="2" t="s">
        <v>35</v>
      </c>
      <c r="G59" s="2" t="s">
        <v>46</v>
      </c>
      <c r="H59" s="2" t="s">
        <v>78</v>
      </c>
      <c r="I59" s="4">
        <v>204.1</v>
      </c>
      <c r="J59" s="5">
        <v>2671000.0</v>
      </c>
      <c r="K59" s="5">
        <v>1995090.0</v>
      </c>
      <c r="L59" s="2">
        <v>4.0</v>
      </c>
      <c r="M59" s="6">
        <v>4.142</v>
      </c>
      <c r="N59" s="6">
        <v>-73.626</v>
      </c>
      <c r="O59" s="5">
        <f t="shared" si="1"/>
        <v>545151100</v>
      </c>
      <c r="P59" s="5">
        <f t="shared" si="2"/>
        <v>407197869</v>
      </c>
      <c r="Q59" s="5">
        <f t="shared" si="3"/>
        <v>137953231</v>
      </c>
      <c r="R59" s="7">
        <f t="shared" si="4"/>
        <v>0.2530550356</v>
      </c>
      <c r="S59" s="2" t="str">
        <f t="shared" si="5"/>
        <v>2024-05</v>
      </c>
      <c r="T59" s="2" t="str">
        <f t="shared" si="6"/>
        <v>T2-2024</v>
      </c>
    </row>
    <row r="60" ht="15.75" customHeight="1">
      <c r="A60" s="2" t="s">
        <v>117</v>
      </c>
      <c r="B60" s="3">
        <v>45445.0</v>
      </c>
      <c r="C60" s="2" t="s">
        <v>56</v>
      </c>
      <c r="D60" s="2" t="s">
        <v>57</v>
      </c>
      <c r="E60" s="2" t="s">
        <v>53</v>
      </c>
      <c r="F60" s="2" t="s">
        <v>29</v>
      </c>
      <c r="G60" s="2" t="s">
        <v>43</v>
      </c>
      <c r="H60" s="2" t="s">
        <v>58</v>
      </c>
      <c r="I60" s="4">
        <v>63.8</v>
      </c>
      <c r="J60" s="5">
        <v>1.0432E7</v>
      </c>
      <c r="K60" s="5">
        <v>6762554.0</v>
      </c>
      <c r="L60" s="2">
        <v>4.0</v>
      </c>
      <c r="M60" s="6">
        <v>4.142</v>
      </c>
      <c r="N60" s="6">
        <v>-73.626</v>
      </c>
      <c r="O60" s="5">
        <f t="shared" si="1"/>
        <v>665561600</v>
      </c>
      <c r="P60" s="5">
        <f t="shared" si="2"/>
        <v>431450945.2</v>
      </c>
      <c r="Q60" s="5">
        <f t="shared" si="3"/>
        <v>234110654.8</v>
      </c>
      <c r="R60" s="7">
        <f t="shared" si="4"/>
        <v>0.3517490414</v>
      </c>
      <c r="S60" s="2" t="str">
        <f t="shared" si="5"/>
        <v>2024-06</v>
      </c>
      <c r="T60" s="2" t="str">
        <f t="shared" si="6"/>
        <v>T2-2024</v>
      </c>
    </row>
    <row r="61" ht="15.75" customHeight="1">
      <c r="A61" s="2" t="s">
        <v>118</v>
      </c>
      <c r="B61" s="3">
        <v>45447.0</v>
      </c>
      <c r="C61" s="2" t="s">
        <v>32</v>
      </c>
      <c r="D61" s="2" t="s">
        <v>33</v>
      </c>
      <c r="E61" s="2" t="s">
        <v>34</v>
      </c>
      <c r="F61" s="2" t="s">
        <v>35</v>
      </c>
      <c r="G61" s="2" t="s">
        <v>43</v>
      </c>
      <c r="H61" s="2" t="s">
        <v>30</v>
      </c>
      <c r="I61" s="4">
        <v>35.5</v>
      </c>
      <c r="J61" s="5">
        <v>2727000.0</v>
      </c>
      <c r="K61" s="5">
        <v>1652724.0</v>
      </c>
      <c r="L61" s="2">
        <v>4.0</v>
      </c>
      <c r="M61" s="6">
        <v>6.244</v>
      </c>
      <c r="N61" s="6">
        <v>-75.581</v>
      </c>
      <c r="O61" s="5">
        <f t="shared" si="1"/>
        <v>96808500</v>
      </c>
      <c r="P61" s="5">
        <f t="shared" si="2"/>
        <v>58671702</v>
      </c>
      <c r="Q61" s="5">
        <f t="shared" si="3"/>
        <v>38136798</v>
      </c>
      <c r="R61" s="7">
        <f t="shared" si="4"/>
        <v>0.3939405941</v>
      </c>
      <c r="S61" s="2" t="str">
        <f t="shared" si="5"/>
        <v>2024-06</v>
      </c>
      <c r="T61" s="2" t="str">
        <f t="shared" si="6"/>
        <v>T2-2024</v>
      </c>
    </row>
    <row r="62" ht="15.75" customHeight="1">
      <c r="A62" s="2" t="s">
        <v>119</v>
      </c>
      <c r="B62" s="3">
        <v>45448.0</v>
      </c>
      <c r="C62" s="2" t="s">
        <v>48</v>
      </c>
      <c r="D62" s="2" t="s">
        <v>49</v>
      </c>
      <c r="E62" s="2" t="s">
        <v>28</v>
      </c>
      <c r="F62" s="2" t="s">
        <v>29</v>
      </c>
      <c r="G62" s="2" t="s">
        <v>43</v>
      </c>
      <c r="H62" s="2" t="s">
        <v>58</v>
      </c>
      <c r="I62" s="4">
        <v>115.4</v>
      </c>
      <c r="J62" s="5">
        <v>1.431E7</v>
      </c>
      <c r="K62" s="5">
        <v>1.119494E7</v>
      </c>
      <c r="L62" s="2">
        <v>4.0</v>
      </c>
      <c r="M62" s="6">
        <v>5.339</v>
      </c>
      <c r="N62" s="6">
        <v>-72.395</v>
      </c>
      <c r="O62" s="5">
        <f t="shared" si="1"/>
        <v>1651374000</v>
      </c>
      <c r="P62" s="5">
        <f t="shared" si="2"/>
        <v>1291896076</v>
      </c>
      <c r="Q62" s="5">
        <f t="shared" si="3"/>
        <v>359477924</v>
      </c>
      <c r="R62" s="7">
        <f t="shared" si="4"/>
        <v>0.217684137</v>
      </c>
      <c r="S62" s="2" t="str">
        <f t="shared" si="5"/>
        <v>2024-06</v>
      </c>
      <c r="T62" s="2" t="str">
        <f t="shared" si="6"/>
        <v>T2-2024</v>
      </c>
    </row>
    <row r="63" ht="15.75" customHeight="1">
      <c r="A63" s="2" t="s">
        <v>120</v>
      </c>
      <c r="B63" s="3">
        <v>45450.0</v>
      </c>
      <c r="C63" s="2" t="s">
        <v>32</v>
      </c>
      <c r="D63" s="2" t="s">
        <v>33</v>
      </c>
      <c r="E63" s="2" t="s">
        <v>77</v>
      </c>
      <c r="F63" s="2" t="s">
        <v>35</v>
      </c>
      <c r="G63" s="2" t="s">
        <v>36</v>
      </c>
      <c r="H63" s="2" t="s">
        <v>54</v>
      </c>
      <c r="I63" s="4">
        <v>212.7</v>
      </c>
      <c r="J63" s="5">
        <v>2825000.0</v>
      </c>
      <c r="K63" s="5">
        <v>1749973.0</v>
      </c>
      <c r="L63" s="2">
        <v>3.0</v>
      </c>
      <c r="M63" s="6">
        <v>6.244</v>
      </c>
      <c r="N63" s="6">
        <v>-75.581</v>
      </c>
      <c r="O63" s="5">
        <f t="shared" si="1"/>
        <v>600877500</v>
      </c>
      <c r="P63" s="5">
        <f t="shared" si="2"/>
        <v>372219257.1</v>
      </c>
      <c r="Q63" s="5">
        <f t="shared" si="3"/>
        <v>228658242.9</v>
      </c>
      <c r="R63" s="7">
        <f t="shared" si="4"/>
        <v>0.380540531</v>
      </c>
      <c r="S63" s="2" t="str">
        <f t="shared" si="5"/>
        <v>2024-06</v>
      </c>
      <c r="T63" s="2" t="str">
        <f t="shared" si="6"/>
        <v>T2-2024</v>
      </c>
    </row>
    <row r="64" ht="15.75" customHeight="1">
      <c r="A64" s="2" t="s">
        <v>121</v>
      </c>
      <c r="B64" s="3">
        <v>45453.0</v>
      </c>
      <c r="C64" s="2" t="s">
        <v>56</v>
      </c>
      <c r="D64" s="2" t="s">
        <v>57</v>
      </c>
      <c r="E64" s="2" t="s">
        <v>88</v>
      </c>
      <c r="F64" s="2" t="s">
        <v>62</v>
      </c>
      <c r="G64" s="2" t="s">
        <v>46</v>
      </c>
      <c r="H64" s="2" t="s">
        <v>37</v>
      </c>
      <c r="I64" s="4">
        <v>138.9</v>
      </c>
      <c r="J64" s="5">
        <v>1559000.0</v>
      </c>
      <c r="K64" s="5">
        <v>1217233.0</v>
      </c>
      <c r="L64" s="2">
        <v>3.0</v>
      </c>
      <c r="M64" s="6">
        <v>4.142</v>
      </c>
      <c r="N64" s="6">
        <v>-73.626</v>
      </c>
      <c r="O64" s="5">
        <f t="shared" si="1"/>
        <v>216545100</v>
      </c>
      <c r="P64" s="5">
        <f t="shared" si="2"/>
        <v>169073663.7</v>
      </c>
      <c r="Q64" s="5">
        <f t="shared" si="3"/>
        <v>47471436.3</v>
      </c>
      <c r="R64" s="7">
        <f t="shared" si="4"/>
        <v>0.2192219371</v>
      </c>
      <c r="S64" s="2" t="str">
        <f t="shared" si="5"/>
        <v>2024-06</v>
      </c>
      <c r="T64" s="2" t="str">
        <f t="shared" si="6"/>
        <v>T2-2024</v>
      </c>
    </row>
    <row r="65" ht="15.75" customHeight="1">
      <c r="A65" s="2" t="s">
        <v>122</v>
      </c>
      <c r="B65" s="3">
        <v>45453.0</v>
      </c>
      <c r="C65" s="2" t="s">
        <v>32</v>
      </c>
      <c r="D65" s="2" t="s">
        <v>33</v>
      </c>
      <c r="E65" s="2" t="s">
        <v>88</v>
      </c>
      <c r="F65" s="2" t="s">
        <v>62</v>
      </c>
      <c r="G65" s="2" t="s">
        <v>43</v>
      </c>
      <c r="H65" s="2" t="s">
        <v>58</v>
      </c>
      <c r="I65" s="4">
        <v>59.7</v>
      </c>
      <c r="J65" s="5">
        <v>1713000.0</v>
      </c>
      <c r="K65" s="5">
        <v>1239998.0</v>
      </c>
      <c r="L65" s="2">
        <v>1.0</v>
      </c>
      <c r="M65" s="6">
        <v>6.244</v>
      </c>
      <c r="N65" s="6">
        <v>-75.581</v>
      </c>
      <c r="O65" s="5">
        <f t="shared" si="1"/>
        <v>102266100</v>
      </c>
      <c r="P65" s="5">
        <f t="shared" si="2"/>
        <v>74027880.6</v>
      </c>
      <c r="Q65" s="5">
        <f t="shared" si="3"/>
        <v>28238219.4</v>
      </c>
      <c r="R65" s="7">
        <f t="shared" si="4"/>
        <v>0.276124927</v>
      </c>
      <c r="S65" s="2" t="str">
        <f t="shared" si="5"/>
        <v>2024-06</v>
      </c>
      <c r="T65" s="2" t="str">
        <f t="shared" si="6"/>
        <v>T2-2024</v>
      </c>
    </row>
    <row r="66" ht="15.75" customHeight="1">
      <c r="A66" s="2" t="s">
        <v>123</v>
      </c>
      <c r="B66" s="3">
        <v>45453.0</v>
      </c>
      <c r="C66" s="2" t="s">
        <v>32</v>
      </c>
      <c r="D66" s="2" t="s">
        <v>33</v>
      </c>
      <c r="E66" s="2" t="s">
        <v>34</v>
      </c>
      <c r="F66" s="2" t="s">
        <v>35</v>
      </c>
      <c r="G66" s="2" t="s">
        <v>46</v>
      </c>
      <c r="H66" s="2" t="s">
        <v>37</v>
      </c>
      <c r="I66" s="4">
        <v>73.9</v>
      </c>
      <c r="J66" s="5">
        <v>2702000.0</v>
      </c>
      <c r="K66" s="5">
        <v>2037996.0</v>
      </c>
      <c r="L66" s="2">
        <v>2.0</v>
      </c>
      <c r="M66" s="6">
        <v>6.244</v>
      </c>
      <c r="N66" s="6">
        <v>-75.581</v>
      </c>
      <c r="O66" s="5">
        <f t="shared" si="1"/>
        <v>199677800</v>
      </c>
      <c r="P66" s="5">
        <f t="shared" si="2"/>
        <v>150607904.4</v>
      </c>
      <c r="Q66" s="5">
        <f t="shared" si="3"/>
        <v>49069895.6</v>
      </c>
      <c r="R66" s="7">
        <f t="shared" si="4"/>
        <v>0.2457453738</v>
      </c>
      <c r="S66" s="2" t="str">
        <f t="shared" si="5"/>
        <v>2024-06</v>
      </c>
      <c r="T66" s="2" t="str">
        <f t="shared" si="6"/>
        <v>T2-2024</v>
      </c>
    </row>
    <row r="67" ht="15.75" customHeight="1">
      <c r="A67" s="2" t="s">
        <v>124</v>
      </c>
      <c r="B67" s="3">
        <v>45454.0</v>
      </c>
      <c r="C67" s="2" t="s">
        <v>51</v>
      </c>
      <c r="D67" s="2" t="s">
        <v>52</v>
      </c>
      <c r="E67" s="2" t="s">
        <v>61</v>
      </c>
      <c r="F67" s="2" t="s">
        <v>62</v>
      </c>
      <c r="G67" s="2" t="s">
        <v>63</v>
      </c>
      <c r="H67" s="2" t="s">
        <v>37</v>
      </c>
      <c r="I67" s="4">
        <v>88.3</v>
      </c>
      <c r="J67" s="5">
        <v>1315000.0</v>
      </c>
      <c r="K67" s="5">
        <v>1049760.0</v>
      </c>
      <c r="L67" s="2">
        <v>1.0</v>
      </c>
      <c r="M67" s="6">
        <v>4.711</v>
      </c>
      <c r="N67" s="6">
        <v>-74.072</v>
      </c>
      <c r="O67" s="5">
        <f t="shared" si="1"/>
        <v>116114500</v>
      </c>
      <c r="P67" s="5">
        <f t="shared" si="2"/>
        <v>92693808</v>
      </c>
      <c r="Q67" s="5">
        <f t="shared" si="3"/>
        <v>23420692</v>
      </c>
      <c r="R67" s="7">
        <f t="shared" si="4"/>
        <v>0.2017034221</v>
      </c>
      <c r="S67" s="2" t="str">
        <f t="shared" si="5"/>
        <v>2024-06</v>
      </c>
      <c r="T67" s="2" t="str">
        <f t="shared" si="6"/>
        <v>T2-2024</v>
      </c>
    </row>
    <row r="68" ht="15.75" customHeight="1">
      <c r="A68" s="2" t="s">
        <v>125</v>
      </c>
      <c r="B68" s="3">
        <v>45455.0</v>
      </c>
      <c r="C68" s="2" t="s">
        <v>51</v>
      </c>
      <c r="D68" s="2" t="s">
        <v>52</v>
      </c>
      <c r="E68" s="2" t="s">
        <v>28</v>
      </c>
      <c r="F68" s="2" t="s">
        <v>29</v>
      </c>
      <c r="G68" s="2" t="s">
        <v>63</v>
      </c>
      <c r="H68" s="2" t="s">
        <v>78</v>
      </c>
      <c r="I68" s="4">
        <v>156.4</v>
      </c>
      <c r="J68" s="5">
        <v>1.2917E7</v>
      </c>
      <c r="K68" s="5">
        <v>8995465.0</v>
      </c>
      <c r="L68" s="2">
        <v>5.0</v>
      </c>
      <c r="M68" s="6">
        <v>4.711</v>
      </c>
      <c r="N68" s="6">
        <v>-74.072</v>
      </c>
      <c r="O68" s="5">
        <f t="shared" si="1"/>
        <v>2020218800</v>
      </c>
      <c r="P68" s="5">
        <f t="shared" si="2"/>
        <v>1406890726</v>
      </c>
      <c r="Q68" s="5">
        <f t="shared" si="3"/>
        <v>613328074</v>
      </c>
      <c r="R68" s="7">
        <f t="shared" si="4"/>
        <v>0.303594875</v>
      </c>
      <c r="S68" s="2" t="str">
        <f t="shared" si="5"/>
        <v>2024-06</v>
      </c>
      <c r="T68" s="2" t="str">
        <f t="shared" si="6"/>
        <v>T2-2024</v>
      </c>
    </row>
    <row r="69" ht="15.75" customHeight="1">
      <c r="A69" s="2" t="s">
        <v>126</v>
      </c>
      <c r="B69" s="3">
        <v>45457.0</v>
      </c>
      <c r="C69" s="2" t="s">
        <v>51</v>
      </c>
      <c r="D69" s="2" t="s">
        <v>52</v>
      </c>
      <c r="E69" s="2" t="s">
        <v>88</v>
      </c>
      <c r="F69" s="2" t="s">
        <v>62</v>
      </c>
      <c r="G69" s="2" t="s">
        <v>25</v>
      </c>
      <c r="H69" s="2" t="s">
        <v>37</v>
      </c>
      <c r="I69" s="4">
        <v>9.2</v>
      </c>
      <c r="J69" s="5">
        <v>1338000.0</v>
      </c>
      <c r="K69" s="5">
        <v>1054225.0</v>
      </c>
      <c r="L69" s="2">
        <v>2.0</v>
      </c>
      <c r="M69" s="6">
        <v>4.711</v>
      </c>
      <c r="N69" s="6">
        <v>-74.072</v>
      </c>
      <c r="O69" s="5">
        <f t="shared" si="1"/>
        <v>12309600</v>
      </c>
      <c r="P69" s="5">
        <f t="shared" si="2"/>
        <v>9698870</v>
      </c>
      <c r="Q69" s="5">
        <f t="shared" si="3"/>
        <v>2610730</v>
      </c>
      <c r="R69" s="7">
        <f t="shared" si="4"/>
        <v>0.2120889387</v>
      </c>
      <c r="S69" s="2" t="str">
        <f t="shared" si="5"/>
        <v>2024-06</v>
      </c>
      <c r="T69" s="2" t="str">
        <f t="shared" si="6"/>
        <v>T2-2024</v>
      </c>
    </row>
    <row r="70" ht="15.75" customHeight="1">
      <c r="A70" s="2" t="s">
        <v>127</v>
      </c>
      <c r="B70" s="3">
        <v>45457.0</v>
      </c>
      <c r="C70" s="2" t="s">
        <v>39</v>
      </c>
      <c r="D70" s="2" t="s">
        <v>40</v>
      </c>
      <c r="E70" s="2" t="s">
        <v>53</v>
      </c>
      <c r="F70" s="2" t="s">
        <v>29</v>
      </c>
      <c r="G70" s="2" t="s">
        <v>36</v>
      </c>
      <c r="H70" s="2" t="s">
        <v>30</v>
      </c>
      <c r="I70" s="4">
        <v>341.9</v>
      </c>
      <c r="J70" s="5">
        <v>1.1125E7</v>
      </c>
      <c r="K70" s="5">
        <v>8642831.0</v>
      </c>
      <c r="L70" s="2">
        <v>1.0</v>
      </c>
      <c r="M70" s="6">
        <v>4.439</v>
      </c>
      <c r="N70" s="6">
        <v>-75.232</v>
      </c>
      <c r="O70" s="5">
        <f t="shared" si="1"/>
        <v>3803637500</v>
      </c>
      <c r="P70" s="5">
        <f t="shared" si="2"/>
        <v>2954983919</v>
      </c>
      <c r="Q70" s="5">
        <f t="shared" si="3"/>
        <v>848653581.1</v>
      </c>
      <c r="R70" s="7">
        <f t="shared" si="4"/>
        <v>0.2231163146</v>
      </c>
      <c r="S70" s="2" t="str">
        <f t="shared" si="5"/>
        <v>2024-06</v>
      </c>
      <c r="T70" s="2" t="str">
        <f t="shared" si="6"/>
        <v>T2-2024</v>
      </c>
    </row>
    <row r="71" ht="15.75" customHeight="1">
      <c r="A71" s="2" t="s">
        <v>128</v>
      </c>
      <c r="B71" s="3">
        <v>45459.0</v>
      </c>
      <c r="C71" s="2" t="s">
        <v>56</v>
      </c>
      <c r="D71" s="2" t="s">
        <v>57</v>
      </c>
      <c r="E71" s="2" t="s">
        <v>61</v>
      </c>
      <c r="F71" s="2" t="s">
        <v>62</v>
      </c>
      <c r="G71" s="2" t="s">
        <v>43</v>
      </c>
      <c r="H71" s="2" t="s">
        <v>26</v>
      </c>
      <c r="I71" s="4">
        <v>190.1</v>
      </c>
      <c r="J71" s="5">
        <v>1494000.0</v>
      </c>
      <c r="K71" s="5">
        <v>1089151.0</v>
      </c>
      <c r="L71" s="2">
        <v>4.0</v>
      </c>
      <c r="M71" s="6">
        <v>4.142</v>
      </c>
      <c r="N71" s="6">
        <v>-73.626</v>
      </c>
      <c r="O71" s="5">
        <f t="shared" si="1"/>
        <v>284009400</v>
      </c>
      <c r="P71" s="5">
        <f t="shared" si="2"/>
        <v>207047605.1</v>
      </c>
      <c r="Q71" s="5">
        <f t="shared" si="3"/>
        <v>76961794.9</v>
      </c>
      <c r="R71" s="7">
        <f t="shared" si="4"/>
        <v>0.2709832664</v>
      </c>
      <c r="S71" s="2" t="str">
        <f t="shared" si="5"/>
        <v>2024-06</v>
      </c>
      <c r="T71" s="2" t="str">
        <f t="shared" si="6"/>
        <v>T2-2024</v>
      </c>
    </row>
    <row r="72" ht="15.75" customHeight="1">
      <c r="A72" s="2" t="s">
        <v>129</v>
      </c>
      <c r="B72" s="3">
        <v>45461.0</v>
      </c>
      <c r="C72" s="2" t="s">
        <v>48</v>
      </c>
      <c r="D72" s="2" t="s">
        <v>49</v>
      </c>
      <c r="E72" s="2" t="s">
        <v>88</v>
      </c>
      <c r="F72" s="2" t="s">
        <v>62</v>
      </c>
      <c r="G72" s="2" t="s">
        <v>43</v>
      </c>
      <c r="H72" s="2" t="s">
        <v>37</v>
      </c>
      <c r="I72" s="4">
        <v>12.2</v>
      </c>
      <c r="J72" s="5">
        <v>1501000.0</v>
      </c>
      <c r="K72" s="5">
        <v>1066035.0</v>
      </c>
      <c r="L72" s="2">
        <v>1.0</v>
      </c>
      <c r="M72" s="6">
        <v>5.339</v>
      </c>
      <c r="N72" s="6">
        <v>-72.395</v>
      </c>
      <c r="O72" s="5">
        <f t="shared" si="1"/>
        <v>18312200</v>
      </c>
      <c r="P72" s="5">
        <f t="shared" si="2"/>
        <v>13005627</v>
      </c>
      <c r="Q72" s="5">
        <f t="shared" si="3"/>
        <v>5306573</v>
      </c>
      <c r="R72" s="7">
        <f t="shared" si="4"/>
        <v>0.2897834777</v>
      </c>
      <c r="S72" s="2" t="str">
        <f t="shared" si="5"/>
        <v>2024-06</v>
      </c>
      <c r="T72" s="2" t="str">
        <f t="shared" si="6"/>
        <v>T2-2024</v>
      </c>
    </row>
    <row r="73" ht="15.75" customHeight="1">
      <c r="A73" s="2" t="s">
        <v>130</v>
      </c>
      <c r="B73" s="3">
        <v>45461.0</v>
      </c>
      <c r="C73" s="2" t="s">
        <v>56</v>
      </c>
      <c r="D73" s="2" t="s">
        <v>57</v>
      </c>
      <c r="E73" s="2" t="s">
        <v>88</v>
      </c>
      <c r="F73" s="2" t="s">
        <v>62</v>
      </c>
      <c r="G73" s="2" t="s">
        <v>25</v>
      </c>
      <c r="H73" s="2" t="s">
        <v>30</v>
      </c>
      <c r="I73" s="4">
        <v>124.2</v>
      </c>
      <c r="J73" s="5">
        <v>1421000.0</v>
      </c>
      <c r="K73" s="5">
        <v>1127293.0</v>
      </c>
      <c r="L73" s="2">
        <v>5.0</v>
      </c>
      <c r="M73" s="6">
        <v>4.142</v>
      </c>
      <c r="N73" s="6">
        <v>-73.626</v>
      </c>
      <c r="O73" s="5">
        <f t="shared" si="1"/>
        <v>176488200</v>
      </c>
      <c r="P73" s="5">
        <f t="shared" si="2"/>
        <v>140009790.6</v>
      </c>
      <c r="Q73" s="5">
        <f t="shared" si="3"/>
        <v>36478409.4</v>
      </c>
      <c r="R73" s="7">
        <f t="shared" si="4"/>
        <v>0.2066903589</v>
      </c>
      <c r="S73" s="2" t="str">
        <f t="shared" si="5"/>
        <v>2024-06</v>
      </c>
      <c r="T73" s="2" t="str">
        <f t="shared" si="6"/>
        <v>T2-2024</v>
      </c>
    </row>
    <row r="74" ht="15.75" customHeight="1">
      <c r="A74" s="2" t="s">
        <v>131</v>
      </c>
      <c r="B74" s="3">
        <v>45462.0</v>
      </c>
      <c r="C74" s="2" t="s">
        <v>60</v>
      </c>
      <c r="D74" s="2" t="s">
        <v>60</v>
      </c>
      <c r="E74" s="2" t="s">
        <v>28</v>
      </c>
      <c r="F74" s="2" t="s">
        <v>29</v>
      </c>
      <c r="G74" s="2" t="s">
        <v>25</v>
      </c>
      <c r="H74" s="2" t="s">
        <v>54</v>
      </c>
      <c r="I74" s="4">
        <v>334.2</v>
      </c>
      <c r="J74" s="5">
        <v>1.4696E7</v>
      </c>
      <c r="K74" s="5">
        <v>8713255.0</v>
      </c>
      <c r="L74" s="2">
        <v>4.0</v>
      </c>
      <c r="M74" s="6">
        <v>7.084</v>
      </c>
      <c r="N74" s="6">
        <v>-70.759</v>
      </c>
      <c r="O74" s="5">
        <f t="shared" si="1"/>
        <v>4911403200</v>
      </c>
      <c r="P74" s="5">
        <f t="shared" si="2"/>
        <v>2911969821</v>
      </c>
      <c r="Q74" s="5">
        <f t="shared" si="3"/>
        <v>1999433379</v>
      </c>
      <c r="R74" s="7">
        <f t="shared" si="4"/>
        <v>0.4071002314</v>
      </c>
      <c r="S74" s="2" t="str">
        <f t="shared" si="5"/>
        <v>2024-06</v>
      </c>
      <c r="T74" s="2" t="str">
        <f t="shared" si="6"/>
        <v>T2-2024</v>
      </c>
    </row>
    <row r="75" ht="15.75" customHeight="1">
      <c r="A75" s="2" t="s">
        <v>132</v>
      </c>
      <c r="B75" s="3">
        <v>45467.0</v>
      </c>
      <c r="C75" s="2" t="s">
        <v>39</v>
      </c>
      <c r="D75" s="2" t="s">
        <v>40</v>
      </c>
      <c r="E75" s="2" t="s">
        <v>67</v>
      </c>
      <c r="F75" s="2" t="s">
        <v>24</v>
      </c>
      <c r="G75" s="2" t="s">
        <v>36</v>
      </c>
      <c r="H75" s="2" t="s">
        <v>54</v>
      </c>
      <c r="I75" s="4">
        <v>151.2</v>
      </c>
      <c r="J75" s="5">
        <v>1.3105E7</v>
      </c>
      <c r="K75" s="5">
        <v>1.0453795E7</v>
      </c>
      <c r="L75" s="2">
        <v>5.0</v>
      </c>
      <c r="M75" s="6">
        <v>4.439</v>
      </c>
      <c r="N75" s="6">
        <v>-75.232</v>
      </c>
      <c r="O75" s="5">
        <f t="shared" si="1"/>
        <v>1981476000</v>
      </c>
      <c r="P75" s="5">
        <f t="shared" si="2"/>
        <v>1580613804</v>
      </c>
      <c r="Q75" s="5">
        <f t="shared" si="3"/>
        <v>400862196</v>
      </c>
      <c r="R75" s="7">
        <f t="shared" si="4"/>
        <v>0.2023048455</v>
      </c>
      <c r="S75" s="2" t="str">
        <f t="shared" si="5"/>
        <v>2024-06</v>
      </c>
      <c r="T75" s="2" t="str">
        <f t="shared" si="6"/>
        <v>T2-2024</v>
      </c>
    </row>
    <row r="76" ht="15.75" customHeight="1">
      <c r="A76" s="2" t="s">
        <v>133</v>
      </c>
      <c r="B76" s="3">
        <v>45473.0</v>
      </c>
      <c r="C76" s="2" t="s">
        <v>60</v>
      </c>
      <c r="D76" s="2" t="s">
        <v>60</v>
      </c>
      <c r="E76" s="2" t="s">
        <v>88</v>
      </c>
      <c r="F76" s="2" t="s">
        <v>62</v>
      </c>
      <c r="G76" s="2" t="s">
        <v>43</v>
      </c>
      <c r="H76" s="2" t="s">
        <v>37</v>
      </c>
      <c r="I76" s="4">
        <v>84.9</v>
      </c>
      <c r="J76" s="5">
        <v>1773000.0</v>
      </c>
      <c r="K76" s="5">
        <v>1372392.0</v>
      </c>
      <c r="L76" s="2">
        <v>5.0</v>
      </c>
      <c r="M76" s="6">
        <v>7.084</v>
      </c>
      <c r="N76" s="6">
        <v>-70.759</v>
      </c>
      <c r="O76" s="5">
        <f t="shared" si="1"/>
        <v>150527700</v>
      </c>
      <c r="P76" s="5">
        <f t="shared" si="2"/>
        <v>116516080.8</v>
      </c>
      <c r="Q76" s="5">
        <f t="shared" si="3"/>
        <v>34011619.2</v>
      </c>
      <c r="R76" s="7">
        <f t="shared" si="4"/>
        <v>0.2259492386</v>
      </c>
      <c r="S76" s="2" t="str">
        <f t="shared" si="5"/>
        <v>2024-06</v>
      </c>
      <c r="T76" s="2" t="str">
        <f t="shared" si="6"/>
        <v>T2-2024</v>
      </c>
    </row>
    <row r="77" ht="15.75" customHeight="1">
      <c r="A77" s="2" t="s">
        <v>134</v>
      </c>
      <c r="B77" s="3">
        <v>45476.0</v>
      </c>
      <c r="C77" s="2" t="s">
        <v>48</v>
      </c>
      <c r="D77" s="2" t="s">
        <v>49</v>
      </c>
      <c r="E77" s="2" t="s">
        <v>34</v>
      </c>
      <c r="F77" s="2" t="s">
        <v>35</v>
      </c>
      <c r="G77" s="2" t="s">
        <v>63</v>
      </c>
      <c r="H77" s="2" t="s">
        <v>37</v>
      </c>
      <c r="I77" s="4">
        <v>252.4</v>
      </c>
      <c r="J77" s="5">
        <v>2917000.0</v>
      </c>
      <c r="K77" s="5">
        <v>2130255.0</v>
      </c>
      <c r="L77" s="2">
        <v>4.0</v>
      </c>
      <c r="M77" s="6">
        <v>5.339</v>
      </c>
      <c r="N77" s="6">
        <v>-72.395</v>
      </c>
      <c r="O77" s="5">
        <f t="shared" si="1"/>
        <v>736250800</v>
      </c>
      <c r="P77" s="5">
        <f t="shared" si="2"/>
        <v>537676362</v>
      </c>
      <c r="Q77" s="5">
        <f t="shared" si="3"/>
        <v>198574438</v>
      </c>
      <c r="R77" s="7">
        <f t="shared" si="4"/>
        <v>0.2697103188</v>
      </c>
      <c r="S77" s="2" t="str">
        <f t="shared" si="5"/>
        <v>2024-07</v>
      </c>
      <c r="T77" s="2" t="str">
        <f t="shared" si="6"/>
        <v>T3-2024</v>
      </c>
    </row>
    <row r="78" ht="15.75" customHeight="1">
      <c r="A78" s="2" t="s">
        <v>135</v>
      </c>
      <c r="B78" s="3">
        <v>45478.0</v>
      </c>
      <c r="C78" s="2" t="s">
        <v>60</v>
      </c>
      <c r="D78" s="2" t="s">
        <v>60</v>
      </c>
      <c r="E78" s="2" t="s">
        <v>34</v>
      </c>
      <c r="F78" s="2" t="s">
        <v>35</v>
      </c>
      <c r="G78" s="2" t="s">
        <v>43</v>
      </c>
      <c r="H78" s="2" t="s">
        <v>26</v>
      </c>
      <c r="I78" s="4">
        <v>241.5</v>
      </c>
      <c r="J78" s="5">
        <v>2865000.0</v>
      </c>
      <c r="K78" s="5">
        <v>1758146.0</v>
      </c>
      <c r="L78" s="2">
        <v>2.0</v>
      </c>
      <c r="M78" s="6">
        <v>7.084</v>
      </c>
      <c r="N78" s="6">
        <v>-70.759</v>
      </c>
      <c r="O78" s="5">
        <f t="shared" si="1"/>
        <v>691897500</v>
      </c>
      <c r="P78" s="5">
        <f t="shared" si="2"/>
        <v>424592259</v>
      </c>
      <c r="Q78" s="5">
        <f t="shared" si="3"/>
        <v>267305241</v>
      </c>
      <c r="R78" s="7">
        <f t="shared" si="4"/>
        <v>0.3863364747</v>
      </c>
      <c r="S78" s="2" t="str">
        <f t="shared" si="5"/>
        <v>2024-07</v>
      </c>
      <c r="T78" s="2" t="str">
        <f t="shared" si="6"/>
        <v>T3-2024</v>
      </c>
    </row>
    <row r="79" ht="15.75" customHeight="1">
      <c r="A79" s="2" t="s">
        <v>136</v>
      </c>
      <c r="B79" s="3">
        <v>45484.0</v>
      </c>
      <c r="C79" s="2" t="s">
        <v>21</v>
      </c>
      <c r="D79" s="2" t="s">
        <v>22</v>
      </c>
      <c r="E79" s="2" t="s">
        <v>67</v>
      </c>
      <c r="F79" s="2" t="s">
        <v>24</v>
      </c>
      <c r="G79" s="2" t="s">
        <v>43</v>
      </c>
      <c r="H79" s="2" t="s">
        <v>78</v>
      </c>
      <c r="I79" s="4">
        <v>200.0</v>
      </c>
      <c r="J79" s="5">
        <v>1.5112E7</v>
      </c>
      <c r="K79" s="5">
        <v>8936551.0</v>
      </c>
      <c r="L79" s="2">
        <v>3.0</v>
      </c>
      <c r="M79" s="6">
        <v>6.189</v>
      </c>
      <c r="N79" s="6">
        <v>-67.486</v>
      </c>
      <c r="O79" s="5">
        <f t="shared" si="1"/>
        <v>3022400000</v>
      </c>
      <c r="P79" s="5">
        <f t="shared" si="2"/>
        <v>1787310200</v>
      </c>
      <c r="Q79" s="5">
        <f t="shared" si="3"/>
        <v>1235089800</v>
      </c>
      <c r="R79" s="7">
        <f t="shared" si="4"/>
        <v>0.4086453812</v>
      </c>
      <c r="S79" s="2" t="str">
        <f t="shared" si="5"/>
        <v>2024-07</v>
      </c>
      <c r="T79" s="2" t="str">
        <f t="shared" si="6"/>
        <v>T3-2024</v>
      </c>
    </row>
    <row r="80" ht="15.75" customHeight="1">
      <c r="A80" s="2" t="s">
        <v>137</v>
      </c>
      <c r="B80" s="3">
        <v>45485.0</v>
      </c>
      <c r="C80" s="2" t="s">
        <v>51</v>
      </c>
      <c r="D80" s="2" t="s">
        <v>52</v>
      </c>
      <c r="E80" s="2" t="s">
        <v>77</v>
      </c>
      <c r="F80" s="2" t="s">
        <v>35</v>
      </c>
      <c r="G80" s="2" t="s">
        <v>25</v>
      </c>
      <c r="H80" s="2" t="s">
        <v>54</v>
      </c>
      <c r="I80" s="4">
        <v>206.9</v>
      </c>
      <c r="J80" s="5">
        <v>3220000.0</v>
      </c>
      <c r="K80" s="5">
        <v>1898520.0</v>
      </c>
      <c r="L80" s="2">
        <v>4.0</v>
      </c>
      <c r="M80" s="6">
        <v>4.711</v>
      </c>
      <c r="N80" s="6">
        <v>-74.072</v>
      </c>
      <c r="O80" s="5">
        <f t="shared" si="1"/>
        <v>666218000</v>
      </c>
      <c r="P80" s="5">
        <f t="shared" si="2"/>
        <v>392803788</v>
      </c>
      <c r="Q80" s="5">
        <f t="shared" si="3"/>
        <v>273414212</v>
      </c>
      <c r="R80" s="7">
        <f t="shared" si="4"/>
        <v>0.4103975155</v>
      </c>
      <c r="S80" s="2" t="str">
        <f t="shared" si="5"/>
        <v>2024-07</v>
      </c>
      <c r="T80" s="2" t="str">
        <f t="shared" si="6"/>
        <v>T3-2024</v>
      </c>
    </row>
    <row r="81" ht="15.75" customHeight="1">
      <c r="A81" s="2" t="s">
        <v>138</v>
      </c>
      <c r="B81" s="3">
        <v>45486.0</v>
      </c>
      <c r="C81" s="2" t="s">
        <v>56</v>
      </c>
      <c r="D81" s="2" t="s">
        <v>57</v>
      </c>
      <c r="E81" s="2" t="s">
        <v>61</v>
      </c>
      <c r="F81" s="2" t="s">
        <v>62</v>
      </c>
      <c r="G81" s="2" t="s">
        <v>25</v>
      </c>
      <c r="H81" s="2" t="s">
        <v>26</v>
      </c>
      <c r="I81" s="4">
        <v>110.1</v>
      </c>
      <c r="J81" s="5">
        <v>1612000.0</v>
      </c>
      <c r="K81" s="5">
        <v>1125917.0</v>
      </c>
      <c r="L81" s="2">
        <v>2.0</v>
      </c>
      <c r="M81" s="6">
        <v>4.142</v>
      </c>
      <c r="N81" s="6">
        <v>-73.626</v>
      </c>
      <c r="O81" s="5">
        <f t="shared" si="1"/>
        <v>177481200</v>
      </c>
      <c r="P81" s="5">
        <f t="shared" si="2"/>
        <v>123963461.7</v>
      </c>
      <c r="Q81" s="5">
        <f t="shared" si="3"/>
        <v>53517738.3</v>
      </c>
      <c r="R81" s="7">
        <f t="shared" si="4"/>
        <v>0.3015403226</v>
      </c>
      <c r="S81" s="2" t="str">
        <f t="shared" si="5"/>
        <v>2024-07</v>
      </c>
      <c r="T81" s="2" t="str">
        <f t="shared" si="6"/>
        <v>T3-2024</v>
      </c>
    </row>
    <row r="82" ht="15.75" customHeight="1">
      <c r="A82" s="2" t="s">
        <v>139</v>
      </c>
      <c r="B82" s="3">
        <v>45488.0</v>
      </c>
      <c r="C82" s="2" t="s">
        <v>56</v>
      </c>
      <c r="D82" s="2" t="s">
        <v>57</v>
      </c>
      <c r="E82" s="2" t="s">
        <v>41</v>
      </c>
      <c r="F82" s="2" t="s">
        <v>42</v>
      </c>
      <c r="G82" s="2" t="s">
        <v>36</v>
      </c>
      <c r="H82" s="2" t="s">
        <v>30</v>
      </c>
      <c r="I82" s="4">
        <v>189.3</v>
      </c>
      <c r="J82" s="5">
        <v>1619000.0</v>
      </c>
      <c r="K82" s="5">
        <v>1247644.0</v>
      </c>
      <c r="L82" s="2">
        <v>4.0</v>
      </c>
      <c r="M82" s="6">
        <v>4.142</v>
      </c>
      <c r="N82" s="6">
        <v>-73.626</v>
      </c>
      <c r="O82" s="5">
        <f t="shared" si="1"/>
        <v>306476700</v>
      </c>
      <c r="P82" s="5">
        <f t="shared" si="2"/>
        <v>236179009.2</v>
      </c>
      <c r="Q82" s="5">
        <f t="shared" si="3"/>
        <v>70297690.8</v>
      </c>
      <c r="R82" s="7">
        <f t="shared" si="4"/>
        <v>0.2293736875</v>
      </c>
      <c r="S82" s="2" t="str">
        <f t="shared" si="5"/>
        <v>2024-07</v>
      </c>
      <c r="T82" s="2" t="str">
        <f t="shared" si="6"/>
        <v>T3-2024</v>
      </c>
    </row>
    <row r="83" ht="15.75" customHeight="1">
      <c r="A83" s="2" t="s">
        <v>140</v>
      </c>
      <c r="B83" s="3">
        <v>45495.0</v>
      </c>
      <c r="C83" s="2" t="s">
        <v>60</v>
      </c>
      <c r="D83" s="2" t="s">
        <v>60</v>
      </c>
      <c r="E83" s="2" t="s">
        <v>67</v>
      </c>
      <c r="F83" s="2" t="s">
        <v>24</v>
      </c>
      <c r="G83" s="2" t="s">
        <v>36</v>
      </c>
      <c r="H83" s="2" t="s">
        <v>78</v>
      </c>
      <c r="I83" s="4">
        <v>189.2</v>
      </c>
      <c r="J83" s="5">
        <v>1.5315E7</v>
      </c>
      <c r="K83" s="5">
        <v>1.1811634E7</v>
      </c>
      <c r="L83" s="2">
        <v>2.0</v>
      </c>
      <c r="M83" s="6">
        <v>7.084</v>
      </c>
      <c r="N83" s="6">
        <v>-70.759</v>
      </c>
      <c r="O83" s="5">
        <f t="shared" si="1"/>
        <v>2897598000</v>
      </c>
      <c r="P83" s="5">
        <f t="shared" si="2"/>
        <v>2234761153</v>
      </c>
      <c r="Q83" s="5">
        <f t="shared" si="3"/>
        <v>662836847.2</v>
      </c>
      <c r="R83" s="7">
        <f t="shared" si="4"/>
        <v>0.2287539014</v>
      </c>
      <c r="S83" s="2" t="str">
        <f t="shared" si="5"/>
        <v>2024-07</v>
      </c>
      <c r="T83" s="2" t="str">
        <f t="shared" si="6"/>
        <v>T3-2024</v>
      </c>
    </row>
    <row r="84" ht="15.75" customHeight="1">
      <c r="A84" s="2" t="s">
        <v>141</v>
      </c>
      <c r="B84" s="3">
        <v>45496.0</v>
      </c>
      <c r="C84" s="2" t="s">
        <v>21</v>
      </c>
      <c r="D84" s="2" t="s">
        <v>22</v>
      </c>
      <c r="E84" s="2" t="s">
        <v>88</v>
      </c>
      <c r="F84" s="2" t="s">
        <v>62</v>
      </c>
      <c r="G84" s="2" t="s">
        <v>46</v>
      </c>
      <c r="H84" s="2" t="s">
        <v>54</v>
      </c>
      <c r="I84" s="4">
        <v>46.0</v>
      </c>
      <c r="J84" s="5">
        <v>1637000.0</v>
      </c>
      <c r="K84" s="5">
        <v>1019014.0</v>
      </c>
      <c r="L84" s="2">
        <v>3.0</v>
      </c>
      <c r="M84" s="6">
        <v>6.189</v>
      </c>
      <c r="N84" s="6">
        <v>-67.486</v>
      </c>
      <c r="O84" s="5">
        <f t="shared" si="1"/>
        <v>75302000</v>
      </c>
      <c r="P84" s="5">
        <f t="shared" si="2"/>
        <v>46874644</v>
      </c>
      <c r="Q84" s="5">
        <f t="shared" si="3"/>
        <v>28427356</v>
      </c>
      <c r="R84" s="7">
        <f t="shared" si="4"/>
        <v>0.3775113012</v>
      </c>
      <c r="S84" s="2" t="str">
        <f t="shared" si="5"/>
        <v>2024-07</v>
      </c>
      <c r="T84" s="2" t="str">
        <f t="shared" si="6"/>
        <v>T3-2024</v>
      </c>
    </row>
    <row r="85" ht="15.75" customHeight="1">
      <c r="A85" s="2" t="s">
        <v>142</v>
      </c>
      <c r="B85" s="3">
        <v>45496.0</v>
      </c>
      <c r="C85" s="2" t="s">
        <v>48</v>
      </c>
      <c r="D85" s="2" t="s">
        <v>49</v>
      </c>
      <c r="E85" s="2" t="s">
        <v>23</v>
      </c>
      <c r="F85" s="2" t="s">
        <v>24</v>
      </c>
      <c r="G85" s="2" t="s">
        <v>46</v>
      </c>
      <c r="H85" s="2" t="s">
        <v>26</v>
      </c>
      <c r="I85" s="4">
        <v>110.2</v>
      </c>
      <c r="J85" s="5">
        <v>1880000.0</v>
      </c>
      <c r="K85" s="5">
        <v>1319758.0</v>
      </c>
      <c r="L85" s="2">
        <v>1.0</v>
      </c>
      <c r="M85" s="6">
        <v>5.339</v>
      </c>
      <c r="N85" s="6">
        <v>-72.395</v>
      </c>
      <c r="O85" s="5">
        <f t="shared" si="1"/>
        <v>207176000</v>
      </c>
      <c r="P85" s="5">
        <f t="shared" si="2"/>
        <v>145437331.6</v>
      </c>
      <c r="Q85" s="5">
        <f t="shared" si="3"/>
        <v>61738668.4</v>
      </c>
      <c r="R85" s="7">
        <f t="shared" si="4"/>
        <v>0.2980010638</v>
      </c>
      <c r="S85" s="2" t="str">
        <f t="shared" si="5"/>
        <v>2024-07</v>
      </c>
      <c r="T85" s="2" t="str">
        <f t="shared" si="6"/>
        <v>T3-2024</v>
      </c>
    </row>
    <row r="86" ht="15.75" customHeight="1">
      <c r="A86" s="2" t="s">
        <v>143</v>
      </c>
      <c r="B86" s="3">
        <v>45508.0</v>
      </c>
      <c r="C86" s="2" t="s">
        <v>39</v>
      </c>
      <c r="D86" s="2" t="s">
        <v>40</v>
      </c>
      <c r="E86" s="2" t="s">
        <v>23</v>
      </c>
      <c r="F86" s="2" t="s">
        <v>24</v>
      </c>
      <c r="G86" s="2" t="s">
        <v>46</v>
      </c>
      <c r="H86" s="2" t="s">
        <v>54</v>
      </c>
      <c r="I86" s="4">
        <v>112.5</v>
      </c>
      <c r="J86" s="5">
        <v>1905000.0</v>
      </c>
      <c r="K86" s="5">
        <v>1475671.0</v>
      </c>
      <c r="L86" s="2">
        <v>4.0</v>
      </c>
      <c r="M86" s="6">
        <v>4.439</v>
      </c>
      <c r="N86" s="6">
        <v>-75.232</v>
      </c>
      <c r="O86" s="5">
        <f t="shared" si="1"/>
        <v>214312500</v>
      </c>
      <c r="P86" s="5">
        <f t="shared" si="2"/>
        <v>166012987.5</v>
      </c>
      <c r="Q86" s="5">
        <f t="shared" si="3"/>
        <v>48299512.5</v>
      </c>
      <c r="R86" s="7">
        <f t="shared" si="4"/>
        <v>0.2253695538</v>
      </c>
      <c r="S86" s="2" t="str">
        <f t="shared" si="5"/>
        <v>2024-08</v>
      </c>
      <c r="T86" s="2" t="str">
        <f t="shared" si="6"/>
        <v>T3-2024</v>
      </c>
    </row>
    <row r="87" ht="15.75" customHeight="1">
      <c r="A87" s="2" t="s">
        <v>144</v>
      </c>
      <c r="B87" s="3">
        <v>45508.0</v>
      </c>
      <c r="C87" s="2" t="s">
        <v>32</v>
      </c>
      <c r="D87" s="2" t="s">
        <v>33</v>
      </c>
      <c r="E87" s="2" t="s">
        <v>67</v>
      </c>
      <c r="F87" s="2" t="s">
        <v>24</v>
      </c>
      <c r="G87" s="2" t="s">
        <v>36</v>
      </c>
      <c r="H87" s="2" t="s">
        <v>58</v>
      </c>
      <c r="I87" s="4">
        <v>106.2</v>
      </c>
      <c r="J87" s="5">
        <v>1.4751E7</v>
      </c>
      <c r="K87" s="5">
        <v>1.0664577E7</v>
      </c>
      <c r="L87" s="2">
        <v>4.0</v>
      </c>
      <c r="M87" s="6">
        <v>6.244</v>
      </c>
      <c r="N87" s="6">
        <v>-75.581</v>
      </c>
      <c r="O87" s="5">
        <f t="shared" si="1"/>
        <v>1566556200</v>
      </c>
      <c r="P87" s="5">
        <f t="shared" si="2"/>
        <v>1132578077</v>
      </c>
      <c r="Q87" s="5">
        <f t="shared" si="3"/>
        <v>433978122.6</v>
      </c>
      <c r="R87" s="7">
        <f t="shared" si="4"/>
        <v>0.2770268456</v>
      </c>
      <c r="S87" s="2" t="str">
        <f t="shared" si="5"/>
        <v>2024-08</v>
      </c>
      <c r="T87" s="2" t="str">
        <f t="shared" si="6"/>
        <v>T3-2024</v>
      </c>
    </row>
    <row r="88" ht="15.75" customHeight="1">
      <c r="A88" s="2" t="s">
        <v>145</v>
      </c>
      <c r="B88" s="3">
        <v>45510.0</v>
      </c>
      <c r="C88" s="2" t="s">
        <v>21</v>
      </c>
      <c r="D88" s="2" t="s">
        <v>22</v>
      </c>
      <c r="E88" s="2" t="s">
        <v>67</v>
      </c>
      <c r="F88" s="2" t="s">
        <v>24</v>
      </c>
      <c r="G88" s="2" t="s">
        <v>36</v>
      </c>
      <c r="H88" s="2" t="s">
        <v>30</v>
      </c>
      <c r="I88" s="4">
        <v>276.4</v>
      </c>
      <c r="J88" s="5">
        <v>1.5601E7</v>
      </c>
      <c r="K88" s="5">
        <v>9887018.0</v>
      </c>
      <c r="L88" s="2">
        <v>3.0</v>
      </c>
      <c r="M88" s="6">
        <v>6.189</v>
      </c>
      <c r="N88" s="6">
        <v>-67.486</v>
      </c>
      <c r="O88" s="5">
        <f t="shared" si="1"/>
        <v>4312116400</v>
      </c>
      <c r="P88" s="5">
        <f t="shared" si="2"/>
        <v>2732771775</v>
      </c>
      <c r="Q88" s="5">
        <f t="shared" si="3"/>
        <v>1579344625</v>
      </c>
      <c r="R88" s="7">
        <f t="shared" si="4"/>
        <v>0.3662574194</v>
      </c>
      <c r="S88" s="2" t="str">
        <f t="shared" si="5"/>
        <v>2024-08</v>
      </c>
      <c r="T88" s="2" t="str">
        <f t="shared" si="6"/>
        <v>T3-2024</v>
      </c>
    </row>
    <row r="89" ht="15.75" customHeight="1">
      <c r="A89" s="2" t="s">
        <v>146</v>
      </c>
      <c r="B89" s="3">
        <v>45510.0</v>
      </c>
      <c r="C89" s="2" t="s">
        <v>60</v>
      </c>
      <c r="D89" s="2" t="s">
        <v>60</v>
      </c>
      <c r="E89" s="2" t="s">
        <v>67</v>
      </c>
      <c r="F89" s="2" t="s">
        <v>24</v>
      </c>
      <c r="G89" s="2" t="s">
        <v>36</v>
      </c>
      <c r="H89" s="2" t="s">
        <v>58</v>
      </c>
      <c r="I89" s="4">
        <v>38.4</v>
      </c>
      <c r="J89" s="5">
        <v>1.4111E7</v>
      </c>
      <c r="K89" s="5">
        <v>1.0245261E7</v>
      </c>
      <c r="L89" s="2">
        <v>5.0</v>
      </c>
      <c r="M89" s="6">
        <v>7.084</v>
      </c>
      <c r="N89" s="6">
        <v>-70.759</v>
      </c>
      <c r="O89" s="5">
        <f t="shared" si="1"/>
        <v>541862400</v>
      </c>
      <c r="P89" s="5">
        <f t="shared" si="2"/>
        <v>393418022.4</v>
      </c>
      <c r="Q89" s="5">
        <f t="shared" si="3"/>
        <v>148444377.6</v>
      </c>
      <c r="R89" s="7">
        <f t="shared" si="4"/>
        <v>0.273952165</v>
      </c>
      <c r="S89" s="2" t="str">
        <f t="shared" si="5"/>
        <v>2024-08</v>
      </c>
      <c r="T89" s="2" t="str">
        <f t="shared" si="6"/>
        <v>T3-2024</v>
      </c>
    </row>
    <row r="90" ht="15.75" customHeight="1">
      <c r="A90" s="2" t="s">
        <v>147</v>
      </c>
      <c r="B90" s="3">
        <v>45512.0</v>
      </c>
      <c r="C90" s="2" t="s">
        <v>60</v>
      </c>
      <c r="D90" s="2" t="s">
        <v>60</v>
      </c>
      <c r="E90" s="2" t="s">
        <v>28</v>
      </c>
      <c r="F90" s="2" t="s">
        <v>29</v>
      </c>
      <c r="G90" s="2" t="s">
        <v>36</v>
      </c>
      <c r="H90" s="2" t="s">
        <v>78</v>
      </c>
      <c r="I90" s="4">
        <v>140.7</v>
      </c>
      <c r="J90" s="5">
        <v>1.2857E7</v>
      </c>
      <c r="K90" s="5">
        <v>8584884.0</v>
      </c>
      <c r="L90" s="2">
        <v>1.0</v>
      </c>
      <c r="M90" s="6">
        <v>7.084</v>
      </c>
      <c r="N90" s="6">
        <v>-70.759</v>
      </c>
      <c r="O90" s="5">
        <f t="shared" si="1"/>
        <v>1808979900</v>
      </c>
      <c r="P90" s="5">
        <f t="shared" si="2"/>
        <v>1207893179</v>
      </c>
      <c r="Q90" s="5">
        <f t="shared" si="3"/>
        <v>601086721.2</v>
      </c>
      <c r="R90" s="7">
        <f t="shared" si="4"/>
        <v>0.3322793809</v>
      </c>
      <c r="S90" s="2" t="str">
        <f t="shared" si="5"/>
        <v>2024-08</v>
      </c>
      <c r="T90" s="2" t="str">
        <f t="shared" si="6"/>
        <v>T3-2024</v>
      </c>
    </row>
    <row r="91" ht="15.75" customHeight="1">
      <c r="A91" s="2" t="s">
        <v>148</v>
      </c>
      <c r="B91" s="3">
        <v>45515.0</v>
      </c>
      <c r="C91" s="2" t="s">
        <v>39</v>
      </c>
      <c r="D91" s="2" t="s">
        <v>40</v>
      </c>
      <c r="E91" s="2" t="s">
        <v>88</v>
      </c>
      <c r="F91" s="2" t="s">
        <v>62</v>
      </c>
      <c r="G91" s="2" t="s">
        <v>46</v>
      </c>
      <c r="H91" s="2" t="s">
        <v>30</v>
      </c>
      <c r="I91" s="4">
        <v>36.4</v>
      </c>
      <c r="J91" s="5">
        <v>1610000.0</v>
      </c>
      <c r="K91" s="5">
        <v>1275155.0</v>
      </c>
      <c r="L91" s="2">
        <v>1.0</v>
      </c>
      <c r="M91" s="6">
        <v>4.439</v>
      </c>
      <c r="N91" s="6">
        <v>-75.232</v>
      </c>
      <c r="O91" s="5">
        <f t="shared" si="1"/>
        <v>58604000</v>
      </c>
      <c r="P91" s="5">
        <f t="shared" si="2"/>
        <v>46415642</v>
      </c>
      <c r="Q91" s="5">
        <f t="shared" si="3"/>
        <v>12188358</v>
      </c>
      <c r="R91" s="7">
        <f t="shared" si="4"/>
        <v>0.2079782609</v>
      </c>
      <c r="S91" s="2" t="str">
        <f t="shared" si="5"/>
        <v>2024-08</v>
      </c>
      <c r="T91" s="2" t="str">
        <f t="shared" si="6"/>
        <v>T3-2024</v>
      </c>
    </row>
    <row r="92" ht="15.75" customHeight="1">
      <c r="A92" s="2" t="s">
        <v>149</v>
      </c>
      <c r="B92" s="3">
        <v>45516.0</v>
      </c>
      <c r="C92" s="2" t="s">
        <v>32</v>
      </c>
      <c r="D92" s="2" t="s">
        <v>33</v>
      </c>
      <c r="E92" s="2" t="s">
        <v>53</v>
      </c>
      <c r="F92" s="2" t="s">
        <v>29</v>
      </c>
      <c r="G92" s="2" t="s">
        <v>63</v>
      </c>
      <c r="H92" s="2" t="s">
        <v>54</v>
      </c>
      <c r="I92" s="4">
        <v>298.5</v>
      </c>
      <c r="J92" s="5">
        <v>1.0292E7</v>
      </c>
      <c r="K92" s="5">
        <v>6877693.0</v>
      </c>
      <c r="L92" s="2">
        <v>1.0</v>
      </c>
      <c r="M92" s="6">
        <v>6.244</v>
      </c>
      <c r="N92" s="6">
        <v>-75.581</v>
      </c>
      <c r="O92" s="5">
        <f t="shared" si="1"/>
        <v>3072162000</v>
      </c>
      <c r="P92" s="5">
        <f t="shared" si="2"/>
        <v>2052991361</v>
      </c>
      <c r="Q92" s="5">
        <f t="shared" si="3"/>
        <v>1019170640</v>
      </c>
      <c r="R92" s="7">
        <f t="shared" si="4"/>
        <v>0.3317437816</v>
      </c>
      <c r="S92" s="2" t="str">
        <f t="shared" si="5"/>
        <v>2024-08</v>
      </c>
      <c r="T92" s="2" t="str">
        <f t="shared" si="6"/>
        <v>T3-2024</v>
      </c>
    </row>
    <row r="93" ht="15.75" customHeight="1">
      <c r="A93" s="2" t="s">
        <v>150</v>
      </c>
      <c r="B93" s="3">
        <v>45517.0</v>
      </c>
      <c r="C93" s="2" t="s">
        <v>56</v>
      </c>
      <c r="D93" s="2" t="s">
        <v>57</v>
      </c>
      <c r="E93" s="2" t="s">
        <v>65</v>
      </c>
      <c r="F93" s="2" t="s">
        <v>42</v>
      </c>
      <c r="G93" s="2" t="s">
        <v>63</v>
      </c>
      <c r="H93" s="2" t="s">
        <v>54</v>
      </c>
      <c r="I93" s="4">
        <v>26.8</v>
      </c>
      <c r="J93" s="5">
        <v>2916000.0</v>
      </c>
      <c r="K93" s="5">
        <v>2242753.0</v>
      </c>
      <c r="L93" s="2">
        <v>1.0</v>
      </c>
      <c r="M93" s="6">
        <v>4.142</v>
      </c>
      <c r="N93" s="6">
        <v>-73.626</v>
      </c>
      <c r="O93" s="5">
        <f t="shared" si="1"/>
        <v>78148800</v>
      </c>
      <c r="P93" s="5">
        <f t="shared" si="2"/>
        <v>60105780.4</v>
      </c>
      <c r="Q93" s="5">
        <f t="shared" si="3"/>
        <v>18043019.6</v>
      </c>
      <c r="R93" s="7">
        <f t="shared" si="4"/>
        <v>0.2308803155</v>
      </c>
      <c r="S93" s="2" t="str">
        <f t="shared" si="5"/>
        <v>2024-08</v>
      </c>
      <c r="T93" s="2" t="str">
        <f t="shared" si="6"/>
        <v>T3-2024</v>
      </c>
    </row>
    <row r="94" ht="15.75" customHeight="1">
      <c r="A94" s="2" t="s">
        <v>151</v>
      </c>
      <c r="B94" s="3">
        <v>45517.0</v>
      </c>
      <c r="C94" s="2" t="s">
        <v>48</v>
      </c>
      <c r="D94" s="2" t="s">
        <v>49</v>
      </c>
      <c r="E94" s="2" t="s">
        <v>88</v>
      </c>
      <c r="F94" s="2" t="s">
        <v>62</v>
      </c>
      <c r="G94" s="2" t="s">
        <v>46</v>
      </c>
      <c r="H94" s="2" t="s">
        <v>78</v>
      </c>
      <c r="I94" s="4">
        <v>91.3</v>
      </c>
      <c r="J94" s="5">
        <v>1499000.0</v>
      </c>
      <c r="K94" s="5">
        <v>980269.0</v>
      </c>
      <c r="L94" s="2">
        <v>4.0</v>
      </c>
      <c r="M94" s="6">
        <v>5.339</v>
      </c>
      <c r="N94" s="6">
        <v>-72.395</v>
      </c>
      <c r="O94" s="5">
        <f t="shared" si="1"/>
        <v>136858700</v>
      </c>
      <c r="P94" s="5">
        <f t="shared" si="2"/>
        <v>89498559.7</v>
      </c>
      <c r="Q94" s="5">
        <f t="shared" si="3"/>
        <v>47360140.3</v>
      </c>
      <c r="R94" s="7">
        <f t="shared" si="4"/>
        <v>0.3460513676</v>
      </c>
      <c r="S94" s="2" t="str">
        <f t="shared" si="5"/>
        <v>2024-08</v>
      </c>
      <c r="T94" s="2" t="str">
        <f t="shared" si="6"/>
        <v>T3-2024</v>
      </c>
    </row>
    <row r="95" ht="15.75" customHeight="1">
      <c r="A95" s="2" t="s">
        <v>152</v>
      </c>
      <c r="B95" s="3">
        <v>45518.0</v>
      </c>
      <c r="C95" s="2" t="s">
        <v>39</v>
      </c>
      <c r="D95" s="2" t="s">
        <v>40</v>
      </c>
      <c r="E95" s="2" t="s">
        <v>41</v>
      </c>
      <c r="F95" s="2" t="s">
        <v>42</v>
      </c>
      <c r="G95" s="2" t="s">
        <v>25</v>
      </c>
      <c r="H95" s="2" t="s">
        <v>58</v>
      </c>
      <c r="I95" s="4">
        <v>63.6</v>
      </c>
      <c r="J95" s="5">
        <v>1709000.0</v>
      </c>
      <c r="K95" s="5">
        <v>1035088.0</v>
      </c>
      <c r="L95" s="2">
        <v>1.0</v>
      </c>
      <c r="M95" s="6">
        <v>4.439</v>
      </c>
      <c r="N95" s="6">
        <v>-75.232</v>
      </c>
      <c r="O95" s="5">
        <f t="shared" si="1"/>
        <v>108692400</v>
      </c>
      <c r="P95" s="5">
        <f t="shared" si="2"/>
        <v>65831596.8</v>
      </c>
      <c r="Q95" s="5">
        <f t="shared" si="3"/>
        <v>42860803.2</v>
      </c>
      <c r="R95" s="7">
        <f t="shared" si="4"/>
        <v>0.3943311878</v>
      </c>
      <c r="S95" s="2" t="str">
        <f t="shared" si="5"/>
        <v>2024-08</v>
      </c>
      <c r="T95" s="2" t="str">
        <f t="shared" si="6"/>
        <v>T3-2024</v>
      </c>
    </row>
    <row r="96" ht="15.75" customHeight="1">
      <c r="A96" s="2" t="s">
        <v>153</v>
      </c>
      <c r="B96" s="3">
        <v>45521.0</v>
      </c>
      <c r="C96" s="2" t="s">
        <v>21</v>
      </c>
      <c r="D96" s="2" t="s">
        <v>22</v>
      </c>
      <c r="E96" s="2" t="s">
        <v>41</v>
      </c>
      <c r="F96" s="2" t="s">
        <v>42</v>
      </c>
      <c r="G96" s="2" t="s">
        <v>43</v>
      </c>
      <c r="H96" s="2" t="s">
        <v>30</v>
      </c>
      <c r="I96" s="4">
        <v>29.1</v>
      </c>
      <c r="J96" s="5">
        <v>1642000.0</v>
      </c>
      <c r="K96" s="5">
        <v>1159748.0</v>
      </c>
      <c r="L96" s="2">
        <v>4.0</v>
      </c>
      <c r="M96" s="6">
        <v>6.189</v>
      </c>
      <c r="N96" s="6">
        <v>-67.486</v>
      </c>
      <c r="O96" s="5">
        <f t="shared" si="1"/>
        <v>47782200</v>
      </c>
      <c r="P96" s="5">
        <f t="shared" si="2"/>
        <v>33748666.8</v>
      </c>
      <c r="Q96" s="5">
        <f t="shared" si="3"/>
        <v>14033533.2</v>
      </c>
      <c r="R96" s="7">
        <f t="shared" si="4"/>
        <v>0.2936979294</v>
      </c>
      <c r="S96" s="2" t="str">
        <f t="shared" si="5"/>
        <v>2024-08</v>
      </c>
      <c r="T96" s="2" t="str">
        <f t="shared" si="6"/>
        <v>T3-2024</v>
      </c>
    </row>
    <row r="97" ht="15.75" customHeight="1">
      <c r="A97" s="2" t="s">
        <v>154</v>
      </c>
      <c r="B97" s="3">
        <v>45523.0</v>
      </c>
      <c r="C97" s="2" t="s">
        <v>60</v>
      </c>
      <c r="D97" s="2" t="s">
        <v>60</v>
      </c>
      <c r="E97" s="2" t="s">
        <v>67</v>
      </c>
      <c r="F97" s="2" t="s">
        <v>24</v>
      </c>
      <c r="G97" s="2" t="s">
        <v>25</v>
      </c>
      <c r="H97" s="2" t="s">
        <v>78</v>
      </c>
      <c r="I97" s="4">
        <v>101.9</v>
      </c>
      <c r="J97" s="5">
        <v>1.441E7</v>
      </c>
      <c r="K97" s="5">
        <v>1.1496397E7</v>
      </c>
      <c r="L97" s="2">
        <v>3.0</v>
      </c>
      <c r="M97" s="6">
        <v>7.084</v>
      </c>
      <c r="N97" s="6">
        <v>-70.759</v>
      </c>
      <c r="O97" s="5">
        <f t="shared" si="1"/>
        <v>1468379000</v>
      </c>
      <c r="P97" s="5">
        <f t="shared" si="2"/>
        <v>1171482854</v>
      </c>
      <c r="Q97" s="5">
        <f t="shared" si="3"/>
        <v>296896145.7</v>
      </c>
      <c r="R97" s="7">
        <f t="shared" si="4"/>
        <v>0.2021931298</v>
      </c>
      <c r="S97" s="2" t="str">
        <f t="shared" si="5"/>
        <v>2024-08</v>
      </c>
      <c r="T97" s="2" t="str">
        <f t="shared" si="6"/>
        <v>T3-2024</v>
      </c>
    </row>
    <row r="98" ht="15.75" customHeight="1">
      <c r="A98" s="2" t="s">
        <v>155</v>
      </c>
      <c r="B98" s="3">
        <v>45526.0</v>
      </c>
      <c r="C98" s="2" t="s">
        <v>51</v>
      </c>
      <c r="D98" s="2" t="s">
        <v>52</v>
      </c>
      <c r="E98" s="2" t="s">
        <v>23</v>
      </c>
      <c r="F98" s="2" t="s">
        <v>24</v>
      </c>
      <c r="G98" s="2" t="s">
        <v>63</v>
      </c>
      <c r="H98" s="2" t="s">
        <v>58</v>
      </c>
      <c r="I98" s="4">
        <v>139.2</v>
      </c>
      <c r="J98" s="5">
        <v>2090000.0</v>
      </c>
      <c r="K98" s="5">
        <v>1230699.0</v>
      </c>
      <c r="L98" s="2">
        <v>2.0</v>
      </c>
      <c r="M98" s="6">
        <v>4.711</v>
      </c>
      <c r="N98" s="6">
        <v>-74.072</v>
      </c>
      <c r="O98" s="5">
        <f t="shared" si="1"/>
        <v>290928000</v>
      </c>
      <c r="P98" s="5">
        <f t="shared" si="2"/>
        <v>171313300.8</v>
      </c>
      <c r="Q98" s="5">
        <f t="shared" si="3"/>
        <v>119614699.2</v>
      </c>
      <c r="R98" s="7">
        <f t="shared" si="4"/>
        <v>0.4111488038</v>
      </c>
      <c r="S98" s="2" t="str">
        <f t="shared" si="5"/>
        <v>2024-08</v>
      </c>
      <c r="T98" s="2" t="str">
        <f t="shared" si="6"/>
        <v>T3-2024</v>
      </c>
    </row>
    <row r="99" ht="15.75" customHeight="1">
      <c r="A99" s="2" t="s">
        <v>156</v>
      </c>
      <c r="B99" s="3">
        <v>45527.0</v>
      </c>
      <c r="C99" s="2" t="s">
        <v>32</v>
      </c>
      <c r="D99" s="2" t="s">
        <v>33</v>
      </c>
      <c r="E99" s="2" t="s">
        <v>23</v>
      </c>
      <c r="F99" s="2" t="s">
        <v>24</v>
      </c>
      <c r="G99" s="2" t="s">
        <v>46</v>
      </c>
      <c r="H99" s="2" t="s">
        <v>54</v>
      </c>
      <c r="I99" s="4">
        <v>109.5</v>
      </c>
      <c r="J99" s="5">
        <v>1756000.0</v>
      </c>
      <c r="K99" s="5">
        <v>1280314.0</v>
      </c>
      <c r="L99" s="2">
        <v>2.0</v>
      </c>
      <c r="M99" s="6">
        <v>6.244</v>
      </c>
      <c r="N99" s="6">
        <v>-75.581</v>
      </c>
      <c r="O99" s="5">
        <f t="shared" si="1"/>
        <v>192282000</v>
      </c>
      <c r="P99" s="5">
        <f t="shared" si="2"/>
        <v>140194383</v>
      </c>
      <c r="Q99" s="5">
        <f t="shared" si="3"/>
        <v>52087617</v>
      </c>
      <c r="R99" s="7">
        <f t="shared" si="4"/>
        <v>0.2708917995</v>
      </c>
      <c r="S99" s="2" t="str">
        <f t="shared" si="5"/>
        <v>2024-08</v>
      </c>
      <c r="T99" s="2" t="str">
        <f t="shared" si="6"/>
        <v>T3-2024</v>
      </c>
    </row>
    <row r="100" ht="15.75" customHeight="1">
      <c r="A100" s="2" t="s">
        <v>157</v>
      </c>
      <c r="B100" s="3">
        <v>45530.0</v>
      </c>
      <c r="C100" s="2" t="s">
        <v>32</v>
      </c>
      <c r="D100" s="2" t="s">
        <v>33</v>
      </c>
      <c r="E100" s="2" t="s">
        <v>53</v>
      </c>
      <c r="F100" s="2" t="s">
        <v>29</v>
      </c>
      <c r="G100" s="2" t="s">
        <v>36</v>
      </c>
      <c r="H100" s="2" t="s">
        <v>37</v>
      </c>
      <c r="I100" s="4">
        <v>16.0</v>
      </c>
      <c r="J100" s="5">
        <v>9592000.0</v>
      </c>
      <c r="K100" s="5">
        <v>7647280.0</v>
      </c>
      <c r="L100" s="2">
        <v>5.0</v>
      </c>
      <c r="M100" s="6">
        <v>6.244</v>
      </c>
      <c r="N100" s="6">
        <v>-75.581</v>
      </c>
      <c r="O100" s="5">
        <f t="shared" si="1"/>
        <v>153472000</v>
      </c>
      <c r="P100" s="5">
        <f t="shared" si="2"/>
        <v>122356480</v>
      </c>
      <c r="Q100" s="5">
        <f t="shared" si="3"/>
        <v>31115520</v>
      </c>
      <c r="R100" s="7">
        <f t="shared" si="4"/>
        <v>0.2027439533</v>
      </c>
      <c r="S100" s="2" t="str">
        <f t="shared" si="5"/>
        <v>2024-08</v>
      </c>
      <c r="T100" s="2" t="str">
        <f t="shared" si="6"/>
        <v>T3-2024</v>
      </c>
    </row>
    <row r="101" ht="15.75" customHeight="1">
      <c r="A101" s="2" t="s">
        <v>158</v>
      </c>
      <c r="B101" s="3">
        <v>45533.0</v>
      </c>
      <c r="C101" s="2" t="s">
        <v>48</v>
      </c>
      <c r="D101" s="2" t="s">
        <v>49</v>
      </c>
      <c r="E101" s="2" t="s">
        <v>41</v>
      </c>
      <c r="F101" s="2" t="s">
        <v>42</v>
      </c>
      <c r="G101" s="2" t="s">
        <v>46</v>
      </c>
      <c r="H101" s="2" t="s">
        <v>54</v>
      </c>
      <c r="I101" s="4">
        <v>39.9</v>
      </c>
      <c r="J101" s="5">
        <v>1578000.0</v>
      </c>
      <c r="K101" s="5">
        <v>1179156.0</v>
      </c>
      <c r="L101" s="2">
        <v>1.0</v>
      </c>
      <c r="M101" s="6">
        <v>5.339</v>
      </c>
      <c r="N101" s="6">
        <v>-72.395</v>
      </c>
      <c r="O101" s="5">
        <f t="shared" si="1"/>
        <v>62962200</v>
      </c>
      <c r="P101" s="5">
        <f t="shared" si="2"/>
        <v>47048324.4</v>
      </c>
      <c r="Q101" s="5">
        <f t="shared" si="3"/>
        <v>15913875.6</v>
      </c>
      <c r="R101" s="7">
        <f t="shared" si="4"/>
        <v>0.2527528517</v>
      </c>
      <c r="S101" s="2" t="str">
        <f t="shared" si="5"/>
        <v>2024-08</v>
      </c>
      <c r="T101" s="2" t="str">
        <f t="shared" si="6"/>
        <v>T3-2024</v>
      </c>
    </row>
    <row r="102" ht="15.75" customHeight="1">
      <c r="A102" s="2" t="s">
        <v>159</v>
      </c>
      <c r="B102" s="3">
        <v>45537.0</v>
      </c>
      <c r="C102" s="2" t="s">
        <v>48</v>
      </c>
      <c r="D102" s="2" t="s">
        <v>49</v>
      </c>
      <c r="E102" s="2" t="s">
        <v>65</v>
      </c>
      <c r="F102" s="2" t="s">
        <v>42</v>
      </c>
      <c r="G102" s="2" t="s">
        <v>43</v>
      </c>
      <c r="H102" s="2" t="s">
        <v>26</v>
      </c>
      <c r="I102" s="4">
        <v>31.2</v>
      </c>
      <c r="J102" s="5">
        <v>3148000.0</v>
      </c>
      <c r="K102" s="5">
        <v>2390985.0</v>
      </c>
      <c r="L102" s="2">
        <v>5.0</v>
      </c>
      <c r="M102" s="6">
        <v>5.339</v>
      </c>
      <c r="N102" s="6">
        <v>-72.395</v>
      </c>
      <c r="O102" s="5">
        <f t="shared" si="1"/>
        <v>98217600</v>
      </c>
      <c r="P102" s="5">
        <f t="shared" si="2"/>
        <v>74598732</v>
      </c>
      <c r="Q102" s="5">
        <f t="shared" si="3"/>
        <v>23618868</v>
      </c>
      <c r="R102" s="7">
        <f t="shared" si="4"/>
        <v>0.2404749047</v>
      </c>
      <c r="S102" s="2" t="str">
        <f t="shared" si="5"/>
        <v>2024-09</v>
      </c>
      <c r="T102" s="2" t="str">
        <f t="shared" si="6"/>
        <v>T3-2024</v>
      </c>
    </row>
    <row r="103" ht="15.75" customHeight="1">
      <c r="A103" s="2" t="s">
        <v>160</v>
      </c>
      <c r="B103" s="3">
        <v>45537.0</v>
      </c>
      <c r="C103" s="2" t="s">
        <v>51</v>
      </c>
      <c r="D103" s="2" t="s">
        <v>52</v>
      </c>
      <c r="E103" s="2" t="s">
        <v>34</v>
      </c>
      <c r="F103" s="2" t="s">
        <v>35</v>
      </c>
      <c r="G103" s="2" t="s">
        <v>63</v>
      </c>
      <c r="H103" s="2" t="s">
        <v>54</v>
      </c>
      <c r="I103" s="4">
        <v>12.7</v>
      </c>
      <c r="J103" s="5">
        <v>2830000.0</v>
      </c>
      <c r="K103" s="5">
        <v>2070602.0</v>
      </c>
      <c r="L103" s="2">
        <v>4.0</v>
      </c>
      <c r="M103" s="6">
        <v>4.711</v>
      </c>
      <c r="N103" s="6">
        <v>-74.072</v>
      </c>
      <c r="O103" s="5">
        <f t="shared" si="1"/>
        <v>35941000</v>
      </c>
      <c r="P103" s="5">
        <f t="shared" si="2"/>
        <v>26296645.4</v>
      </c>
      <c r="Q103" s="5">
        <f t="shared" si="3"/>
        <v>9644354.6</v>
      </c>
      <c r="R103" s="7">
        <f t="shared" si="4"/>
        <v>0.2683385159</v>
      </c>
      <c r="S103" s="2" t="str">
        <f t="shared" si="5"/>
        <v>2024-09</v>
      </c>
      <c r="T103" s="2" t="str">
        <f t="shared" si="6"/>
        <v>T3-2024</v>
      </c>
    </row>
    <row r="104" ht="15.75" customHeight="1">
      <c r="A104" s="2" t="s">
        <v>161</v>
      </c>
      <c r="B104" s="3">
        <v>45538.0</v>
      </c>
      <c r="C104" s="2" t="s">
        <v>39</v>
      </c>
      <c r="D104" s="2" t="s">
        <v>40</v>
      </c>
      <c r="E104" s="2" t="s">
        <v>88</v>
      </c>
      <c r="F104" s="2" t="s">
        <v>62</v>
      </c>
      <c r="G104" s="2" t="s">
        <v>25</v>
      </c>
      <c r="H104" s="2" t="s">
        <v>78</v>
      </c>
      <c r="I104" s="4">
        <v>144.3</v>
      </c>
      <c r="J104" s="5">
        <v>1347000.0</v>
      </c>
      <c r="K104" s="5">
        <v>868454.0</v>
      </c>
      <c r="L104" s="2">
        <v>4.0</v>
      </c>
      <c r="M104" s="6">
        <v>4.439</v>
      </c>
      <c r="N104" s="6">
        <v>-75.232</v>
      </c>
      <c r="O104" s="5">
        <f t="shared" si="1"/>
        <v>194372100</v>
      </c>
      <c r="P104" s="5">
        <f t="shared" si="2"/>
        <v>125317912.2</v>
      </c>
      <c r="Q104" s="5">
        <f t="shared" si="3"/>
        <v>69054187.8</v>
      </c>
      <c r="R104" s="7">
        <f t="shared" si="4"/>
        <v>0.355268003</v>
      </c>
      <c r="S104" s="2" t="str">
        <f t="shared" si="5"/>
        <v>2024-09</v>
      </c>
      <c r="T104" s="2" t="str">
        <f t="shared" si="6"/>
        <v>T3-2024</v>
      </c>
    </row>
    <row r="105" ht="15.75" customHeight="1">
      <c r="A105" s="2" t="s">
        <v>162</v>
      </c>
      <c r="B105" s="3">
        <v>45541.0</v>
      </c>
      <c r="C105" s="2" t="s">
        <v>39</v>
      </c>
      <c r="D105" s="2" t="s">
        <v>40</v>
      </c>
      <c r="E105" s="2" t="s">
        <v>61</v>
      </c>
      <c r="F105" s="2" t="s">
        <v>62</v>
      </c>
      <c r="G105" s="2" t="s">
        <v>43</v>
      </c>
      <c r="H105" s="2" t="s">
        <v>30</v>
      </c>
      <c r="I105" s="4">
        <v>101.0</v>
      </c>
      <c r="J105" s="5">
        <v>1471000.0</v>
      </c>
      <c r="K105" s="5">
        <v>964427.0</v>
      </c>
      <c r="L105" s="2">
        <v>5.0</v>
      </c>
      <c r="M105" s="6">
        <v>4.439</v>
      </c>
      <c r="N105" s="6">
        <v>-75.232</v>
      </c>
      <c r="O105" s="5">
        <f t="shared" si="1"/>
        <v>148571000</v>
      </c>
      <c r="P105" s="5">
        <f t="shared" si="2"/>
        <v>97407127</v>
      </c>
      <c r="Q105" s="5">
        <f t="shared" si="3"/>
        <v>51163873</v>
      </c>
      <c r="R105" s="7">
        <f t="shared" si="4"/>
        <v>0.3443732155</v>
      </c>
      <c r="S105" s="2" t="str">
        <f t="shared" si="5"/>
        <v>2024-09</v>
      </c>
      <c r="T105" s="2" t="str">
        <f t="shared" si="6"/>
        <v>T3-2024</v>
      </c>
    </row>
    <row r="106" ht="15.75" customHeight="1">
      <c r="A106" s="2" t="s">
        <v>163</v>
      </c>
      <c r="B106" s="3">
        <v>45542.0</v>
      </c>
      <c r="C106" s="2" t="s">
        <v>51</v>
      </c>
      <c r="D106" s="2" t="s">
        <v>52</v>
      </c>
      <c r="E106" s="2" t="s">
        <v>88</v>
      </c>
      <c r="F106" s="2" t="s">
        <v>62</v>
      </c>
      <c r="G106" s="2" t="s">
        <v>63</v>
      </c>
      <c r="H106" s="2" t="s">
        <v>78</v>
      </c>
      <c r="I106" s="4">
        <v>79.0</v>
      </c>
      <c r="J106" s="5">
        <v>1622000.0</v>
      </c>
      <c r="K106" s="5">
        <v>1146182.0</v>
      </c>
      <c r="L106" s="2">
        <v>4.0</v>
      </c>
      <c r="M106" s="6">
        <v>4.711</v>
      </c>
      <c r="N106" s="6">
        <v>-74.072</v>
      </c>
      <c r="O106" s="5">
        <f t="shared" si="1"/>
        <v>128138000</v>
      </c>
      <c r="P106" s="5">
        <f t="shared" si="2"/>
        <v>90548378</v>
      </c>
      <c r="Q106" s="5">
        <f t="shared" si="3"/>
        <v>37589622</v>
      </c>
      <c r="R106" s="7">
        <f t="shared" si="4"/>
        <v>0.293352651</v>
      </c>
      <c r="S106" s="2" t="str">
        <f t="shared" si="5"/>
        <v>2024-09</v>
      </c>
      <c r="T106" s="2" t="str">
        <f t="shared" si="6"/>
        <v>T3-2024</v>
      </c>
    </row>
    <row r="107" ht="15.75" customHeight="1">
      <c r="A107" s="2" t="s">
        <v>164</v>
      </c>
      <c r="B107" s="3">
        <v>45548.0</v>
      </c>
      <c r="C107" s="2" t="s">
        <v>32</v>
      </c>
      <c r="D107" s="2" t="s">
        <v>33</v>
      </c>
      <c r="E107" s="2" t="s">
        <v>88</v>
      </c>
      <c r="F107" s="2" t="s">
        <v>62</v>
      </c>
      <c r="G107" s="2" t="s">
        <v>46</v>
      </c>
      <c r="H107" s="2" t="s">
        <v>54</v>
      </c>
      <c r="I107" s="4">
        <v>179.9</v>
      </c>
      <c r="J107" s="5">
        <v>1736000.0</v>
      </c>
      <c r="K107" s="5">
        <v>1191427.0</v>
      </c>
      <c r="L107" s="2">
        <v>2.0</v>
      </c>
      <c r="M107" s="6">
        <v>6.244</v>
      </c>
      <c r="N107" s="6">
        <v>-75.581</v>
      </c>
      <c r="O107" s="5">
        <f t="shared" si="1"/>
        <v>312306400</v>
      </c>
      <c r="P107" s="5">
        <f t="shared" si="2"/>
        <v>214337717.3</v>
      </c>
      <c r="Q107" s="5">
        <f t="shared" si="3"/>
        <v>97968682.7</v>
      </c>
      <c r="R107" s="7">
        <f t="shared" si="4"/>
        <v>0.3136941244</v>
      </c>
      <c r="S107" s="2" t="str">
        <f t="shared" si="5"/>
        <v>2024-09</v>
      </c>
      <c r="T107" s="2" t="str">
        <f t="shared" si="6"/>
        <v>T3-2024</v>
      </c>
    </row>
    <row r="108" ht="15.75" customHeight="1">
      <c r="A108" s="2" t="s">
        <v>165</v>
      </c>
      <c r="B108" s="3">
        <v>45548.0</v>
      </c>
      <c r="C108" s="2" t="s">
        <v>56</v>
      </c>
      <c r="D108" s="2" t="s">
        <v>57</v>
      </c>
      <c r="E108" s="2" t="s">
        <v>34</v>
      </c>
      <c r="F108" s="2" t="s">
        <v>35</v>
      </c>
      <c r="G108" s="2" t="s">
        <v>63</v>
      </c>
      <c r="H108" s="2" t="s">
        <v>54</v>
      </c>
      <c r="I108" s="4">
        <v>16.1</v>
      </c>
      <c r="J108" s="5">
        <v>3004000.0</v>
      </c>
      <c r="K108" s="5">
        <v>2263379.0</v>
      </c>
      <c r="L108" s="2">
        <v>5.0</v>
      </c>
      <c r="M108" s="6">
        <v>4.142</v>
      </c>
      <c r="N108" s="6">
        <v>-73.626</v>
      </c>
      <c r="O108" s="5">
        <f t="shared" si="1"/>
        <v>48364400</v>
      </c>
      <c r="P108" s="5">
        <f t="shared" si="2"/>
        <v>36440401.9</v>
      </c>
      <c r="Q108" s="5">
        <f t="shared" si="3"/>
        <v>11923998.1</v>
      </c>
      <c r="R108" s="7">
        <f t="shared" si="4"/>
        <v>0.2465449401</v>
      </c>
      <c r="S108" s="2" t="str">
        <f t="shared" si="5"/>
        <v>2024-09</v>
      </c>
      <c r="T108" s="2" t="str">
        <f t="shared" si="6"/>
        <v>T3-2024</v>
      </c>
    </row>
    <row r="109" ht="15.75" customHeight="1">
      <c r="A109" s="2" t="s">
        <v>166</v>
      </c>
      <c r="B109" s="3">
        <v>45548.0</v>
      </c>
      <c r="C109" s="2" t="s">
        <v>39</v>
      </c>
      <c r="D109" s="2" t="s">
        <v>40</v>
      </c>
      <c r="E109" s="2" t="s">
        <v>77</v>
      </c>
      <c r="F109" s="2" t="s">
        <v>35</v>
      </c>
      <c r="G109" s="2" t="s">
        <v>43</v>
      </c>
      <c r="H109" s="2" t="s">
        <v>30</v>
      </c>
      <c r="I109" s="4">
        <v>38.8</v>
      </c>
      <c r="J109" s="5">
        <v>3110000.0</v>
      </c>
      <c r="K109" s="5">
        <v>2224192.0</v>
      </c>
      <c r="L109" s="2">
        <v>1.0</v>
      </c>
      <c r="M109" s="6">
        <v>4.439</v>
      </c>
      <c r="N109" s="6">
        <v>-75.232</v>
      </c>
      <c r="O109" s="5">
        <f t="shared" si="1"/>
        <v>120668000</v>
      </c>
      <c r="P109" s="5">
        <f t="shared" si="2"/>
        <v>86298649.6</v>
      </c>
      <c r="Q109" s="5">
        <f t="shared" si="3"/>
        <v>34369350.4</v>
      </c>
      <c r="R109" s="7">
        <f t="shared" si="4"/>
        <v>0.2848257235</v>
      </c>
      <c r="S109" s="2" t="str">
        <f t="shared" si="5"/>
        <v>2024-09</v>
      </c>
      <c r="T109" s="2" t="str">
        <f t="shared" si="6"/>
        <v>T3-2024</v>
      </c>
    </row>
    <row r="110" ht="15.75" customHeight="1">
      <c r="A110" s="2" t="s">
        <v>167</v>
      </c>
      <c r="B110" s="3">
        <v>45550.0</v>
      </c>
      <c r="C110" s="2" t="s">
        <v>56</v>
      </c>
      <c r="D110" s="2" t="s">
        <v>57</v>
      </c>
      <c r="E110" s="2" t="s">
        <v>88</v>
      </c>
      <c r="F110" s="2" t="s">
        <v>62</v>
      </c>
      <c r="G110" s="2" t="s">
        <v>63</v>
      </c>
      <c r="H110" s="2" t="s">
        <v>78</v>
      </c>
      <c r="I110" s="4">
        <v>92.3</v>
      </c>
      <c r="J110" s="5">
        <v>1595000.0</v>
      </c>
      <c r="K110" s="5">
        <v>1145972.0</v>
      </c>
      <c r="L110" s="2">
        <v>1.0</v>
      </c>
      <c r="M110" s="6">
        <v>4.142</v>
      </c>
      <c r="N110" s="6">
        <v>-73.626</v>
      </c>
      <c r="O110" s="5">
        <f t="shared" si="1"/>
        <v>147218500</v>
      </c>
      <c r="P110" s="5">
        <f t="shared" si="2"/>
        <v>105773215.6</v>
      </c>
      <c r="Q110" s="5">
        <f t="shared" si="3"/>
        <v>41445284.4</v>
      </c>
      <c r="R110" s="7">
        <f t="shared" si="4"/>
        <v>0.2815222571</v>
      </c>
      <c r="S110" s="2" t="str">
        <f t="shared" si="5"/>
        <v>2024-09</v>
      </c>
      <c r="T110" s="2" t="str">
        <f t="shared" si="6"/>
        <v>T3-2024</v>
      </c>
    </row>
    <row r="111" ht="15.75" customHeight="1">
      <c r="A111" s="2" t="s">
        <v>168</v>
      </c>
      <c r="B111" s="3">
        <v>45557.0</v>
      </c>
      <c r="C111" s="2" t="s">
        <v>32</v>
      </c>
      <c r="D111" s="2" t="s">
        <v>33</v>
      </c>
      <c r="E111" s="2" t="s">
        <v>77</v>
      </c>
      <c r="F111" s="2" t="s">
        <v>35</v>
      </c>
      <c r="G111" s="2" t="s">
        <v>46</v>
      </c>
      <c r="H111" s="2" t="s">
        <v>37</v>
      </c>
      <c r="I111" s="4">
        <v>121.5</v>
      </c>
      <c r="J111" s="5">
        <v>3044000.0</v>
      </c>
      <c r="K111" s="5">
        <v>1949412.0</v>
      </c>
      <c r="L111" s="2">
        <v>1.0</v>
      </c>
      <c r="M111" s="6">
        <v>6.244</v>
      </c>
      <c r="N111" s="6">
        <v>-75.581</v>
      </c>
      <c r="O111" s="5">
        <f t="shared" si="1"/>
        <v>369846000</v>
      </c>
      <c r="P111" s="5">
        <f t="shared" si="2"/>
        <v>236853558</v>
      </c>
      <c r="Q111" s="5">
        <f t="shared" si="3"/>
        <v>132992442</v>
      </c>
      <c r="R111" s="7">
        <f t="shared" si="4"/>
        <v>0.3595886991</v>
      </c>
      <c r="S111" s="2" t="str">
        <f t="shared" si="5"/>
        <v>2024-09</v>
      </c>
      <c r="T111" s="2" t="str">
        <f t="shared" si="6"/>
        <v>T3-2024</v>
      </c>
    </row>
    <row r="112" ht="15.75" customHeight="1">
      <c r="A112" s="2" t="s">
        <v>169</v>
      </c>
      <c r="B112" s="3">
        <v>45562.0</v>
      </c>
      <c r="C112" s="2" t="s">
        <v>39</v>
      </c>
      <c r="D112" s="2" t="s">
        <v>40</v>
      </c>
      <c r="E112" s="2" t="s">
        <v>23</v>
      </c>
      <c r="F112" s="2" t="s">
        <v>24</v>
      </c>
      <c r="G112" s="2" t="s">
        <v>36</v>
      </c>
      <c r="H112" s="2" t="s">
        <v>78</v>
      </c>
      <c r="I112" s="4">
        <v>25.5</v>
      </c>
      <c r="J112" s="5">
        <v>1730000.0</v>
      </c>
      <c r="K112" s="5">
        <v>1249890.0</v>
      </c>
      <c r="L112" s="2">
        <v>3.0</v>
      </c>
      <c r="M112" s="6">
        <v>4.439</v>
      </c>
      <c r="N112" s="6">
        <v>-75.232</v>
      </c>
      <c r="O112" s="5">
        <f t="shared" si="1"/>
        <v>44115000</v>
      </c>
      <c r="P112" s="5">
        <f t="shared" si="2"/>
        <v>31872195</v>
      </c>
      <c r="Q112" s="5">
        <f t="shared" si="3"/>
        <v>12242805</v>
      </c>
      <c r="R112" s="7">
        <f t="shared" si="4"/>
        <v>0.2775202312</v>
      </c>
      <c r="S112" s="2" t="str">
        <f t="shared" si="5"/>
        <v>2024-09</v>
      </c>
      <c r="T112" s="2" t="str">
        <f t="shared" si="6"/>
        <v>T3-2024</v>
      </c>
    </row>
    <row r="113" ht="15.75" customHeight="1">
      <c r="A113" s="2" t="s">
        <v>170</v>
      </c>
      <c r="B113" s="3">
        <v>45565.0</v>
      </c>
      <c r="C113" s="2" t="s">
        <v>21</v>
      </c>
      <c r="D113" s="2" t="s">
        <v>22</v>
      </c>
      <c r="E113" s="2" t="s">
        <v>65</v>
      </c>
      <c r="F113" s="2" t="s">
        <v>42</v>
      </c>
      <c r="G113" s="2" t="s">
        <v>46</v>
      </c>
      <c r="H113" s="2" t="s">
        <v>37</v>
      </c>
      <c r="I113" s="4">
        <v>150.6</v>
      </c>
      <c r="J113" s="5">
        <v>3237000.0</v>
      </c>
      <c r="K113" s="5">
        <v>2226152.0</v>
      </c>
      <c r="L113" s="2">
        <v>2.0</v>
      </c>
      <c r="M113" s="6">
        <v>6.189</v>
      </c>
      <c r="N113" s="6">
        <v>-67.486</v>
      </c>
      <c r="O113" s="5">
        <f t="shared" si="1"/>
        <v>487492200</v>
      </c>
      <c r="P113" s="5">
        <f t="shared" si="2"/>
        <v>335258491.2</v>
      </c>
      <c r="Q113" s="5">
        <f t="shared" si="3"/>
        <v>152233708.8</v>
      </c>
      <c r="R113" s="7">
        <f t="shared" si="4"/>
        <v>0.3122792709</v>
      </c>
      <c r="S113" s="2" t="str">
        <f t="shared" si="5"/>
        <v>2024-09</v>
      </c>
      <c r="T113" s="2" t="str">
        <f t="shared" si="6"/>
        <v>T3-2024</v>
      </c>
    </row>
    <row r="114" ht="15.75" customHeight="1">
      <c r="A114" s="2" t="s">
        <v>171</v>
      </c>
      <c r="B114" s="3">
        <v>45565.0</v>
      </c>
      <c r="C114" s="2" t="s">
        <v>39</v>
      </c>
      <c r="D114" s="2" t="s">
        <v>40</v>
      </c>
      <c r="E114" s="2" t="s">
        <v>41</v>
      </c>
      <c r="F114" s="2" t="s">
        <v>42</v>
      </c>
      <c r="G114" s="2" t="s">
        <v>25</v>
      </c>
      <c r="H114" s="2" t="s">
        <v>26</v>
      </c>
      <c r="I114" s="4">
        <v>87.2</v>
      </c>
      <c r="J114" s="5">
        <v>1592000.0</v>
      </c>
      <c r="K114" s="5">
        <v>1114407.0</v>
      </c>
      <c r="L114" s="2">
        <v>3.0</v>
      </c>
      <c r="M114" s="6">
        <v>4.439</v>
      </c>
      <c r="N114" s="6">
        <v>-75.232</v>
      </c>
      <c r="O114" s="5">
        <f t="shared" si="1"/>
        <v>138822400</v>
      </c>
      <c r="P114" s="5">
        <f t="shared" si="2"/>
        <v>97176290.4</v>
      </c>
      <c r="Q114" s="5">
        <f t="shared" si="3"/>
        <v>41646109.6</v>
      </c>
      <c r="R114" s="7">
        <f t="shared" si="4"/>
        <v>0.299995603</v>
      </c>
      <c r="S114" s="2" t="str">
        <f t="shared" si="5"/>
        <v>2024-09</v>
      </c>
      <c r="T114" s="2" t="str">
        <f t="shared" si="6"/>
        <v>T3-2024</v>
      </c>
    </row>
    <row r="115" ht="15.75" customHeight="1">
      <c r="A115" s="2" t="s">
        <v>172</v>
      </c>
      <c r="B115" s="3">
        <v>45573.0</v>
      </c>
      <c r="C115" s="2" t="s">
        <v>51</v>
      </c>
      <c r="D115" s="2" t="s">
        <v>52</v>
      </c>
      <c r="E115" s="2" t="s">
        <v>65</v>
      </c>
      <c r="F115" s="2" t="s">
        <v>42</v>
      </c>
      <c r="G115" s="2" t="s">
        <v>63</v>
      </c>
      <c r="H115" s="2" t="s">
        <v>37</v>
      </c>
      <c r="I115" s="4">
        <v>190.5</v>
      </c>
      <c r="J115" s="5">
        <v>3326000.0</v>
      </c>
      <c r="K115" s="5">
        <v>2590669.0</v>
      </c>
      <c r="L115" s="2">
        <v>3.0</v>
      </c>
      <c r="M115" s="6">
        <v>4.711</v>
      </c>
      <c r="N115" s="6">
        <v>-74.072</v>
      </c>
      <c r="O115" s="5">
        <f t="shared" si="1"/>
        <v>633603000</v>
      </c>
      <c r="P115" s="5">
        <f t="shared" si="2"/>
        <v>493522444.5</v>
      </c>
      <c r="Q115" s="5">
        <f t="shared" si="3"/>
        <v>140080555.5</v>
      </c>
      <c r="R115" s="7">
        <f t="shared" si="4"/>
        <v>0.2210856885</v>
      </c>
      <c r="S115" s="2" t="str">
        <f t="shared" si="5"/>
        <v>2024-10</v>
      </c>
      <c r="T115" s="2" t="str">
        <f t="shared" si="6"/>
        <v>T4-2024</v>
      </c>
    </row>
    <row r="116" ht="15.75" customHeight="1">
      <c r="A116" s="2" t="s">
        <v>173</v>
      </c>
      <c r="B116" s="3">
        <v>45574.0</v>
      </c>
      <c r="C116" s="2" t="s">
        <v>56</v>
      </c>
      <c r="D116" s="2" t="s">
        <v>57</v>
      </c>
      <c r="E116" s="2" t="s">
        <v>67</v>
      </c>
      <c r="F116" s="2" t="s">
        <v>24</v>
      </c>
      <c r="G116" s="2" t="s">
        <v>43</v>
      </c>
      <c r="H116" s="2" t="s">
        <v>54</v>
      </c>
      <c r="I116" s="4">
        <v>38.6</v>
      </c>
      <c r="J116" s="5">
        <v>1.4949E7</v>
      </c>
      <c r="K116" s="5">
        <v>1.0007073E7</v>
      </c>
      <c r="L116" s="2">
        <v>5.0</v>
      </c>
      <c r="M116" s="6">
        <v>4.142</v>
      </c>
      <c r="N116" s="6">
        <v>-73.626</v>
      </c>
      <c r="O116" s="5">
        <f t="shared" si="1"/>
        <v>577031400</v>
      </c>
      <c r="P116" s="5">
        <f t="shared" si="2"/>
        <v>386273017.8</v>
      </c>
      <c r="Q116" s="5">
        <f t="shared" si="3"/>
        <v>190758382.2</v>
      </c>
      <c r="R116" s="7">
        <f t="shared" si="4"/>
        <v>0.3305857917</v>
      </c>
      <c r="S116" s="2" t="str">
        <f t="shared" si="5"/>
        <v>2024-10</v>
      </c>
      <c r="T116" s="2" t="str">
        <f t="shared" si="6"/>
        <v>T4-2024</v>
      </c>
    </row>
    <row r="117" ht="15.75" customHeight="1">
      <c r="A117" s="2" t="s">
        <v>174</v>
      </c>
      <c r="B117" s="3">
        <v>45574.0</v>
      </c>
      <c r="C117" s="2" t="s">
        <v>56</v>
      </c>
      <c r="D117" s="2" t="s">
        <v>57</v>
      </c>
      <c r="E117" s="2" t="s">
        <v>77</v>
      </c>
      <c r="F117" s="2" t="s">
        <v>35</v>
      </c>
      <c r="G117" s="2" t="s">
        <v>25</v>
      </c>
      <c r="H117" s="2" t="s">
        <v>26</v>
      </c>
      <c r="I117" s="4">
        <v>162.4</v>
      </c>
      <c r="J117" s="5">
        <v>3457000.0</v>
      </c>
      <c r="K117" s="5">
        <v>2491420.0</v>
      </c>
      <c r="L117" s="2">
        <v>1.0</v>
      </c>
      <c r="M117" s="6">
        <v>4.142</v>
      </c>
      <c r="N117" s="6">
        <v>-73.626</v>
      </c>
      <c r="O117" s="5">
        <f t="shared" si="1"/>
        <v>561416800</v>
      </c>
      <c r="P117" s="5">
        <f t="shared" si="2"/>
        <v>404606608</v>
      </c>
      <c r="Q117" s="5">
        <f t="shared" si="3"/>
        <v>156810192</v>
      </c>
      <c r="R117" s="7">
        <f t="shared" si="4"/>
        <v>0.2793115418</v>
      </c>
      <c r="S117" s="2" t="str">
        <f t="shared" si="5"/>
        <v>2024-10</v>
      </c>
      <c r="T117" s="2" t="str">
        <f t="shared" si="6"/>
        <v>T4-2024</v>
      </c>
    </row>
    <row r="118" ht="15.75" customHeight="1">
      <c r="A118" s="2" t="s">
        <v>175</v>
      </c>
      <c r="B118" s="3">
        <v>45576.0</v>
      </c>
      <c r="C118" s="2" t="s">
        <v>39</v>
      </c>
      <c r="D118" s="2" t="s">
        <v>40</v>
      </c>
      <c r="E118" s="2" t="s">
        <v>88</v>
      </c>
      <c r="F118" s="2" t="s">
        <v>62</v>
      </c>
      <c r="G118" s="2" t="s">
        <v>46</v>
      </c>
      <c r="H118" s="2" t="s">
        <v>54</v>
      </c>
      <c r="I118" s="4">
        <v>71.4</v>
      </c>
      <c r="J118" s="5">
        <v>1407000.0</v>
      </c>
      <c r="K118" s="5">
        <v>1023506.0</v>
      </c>
      <c r="L118" s="2">
        <v>1.0</v>
      </c>
      <c r="M118" s="6">
        <v>4.439</v>
      </c>
      <c r="N118" s="6">
        <v>-75.232</v>
      </c>
      <c r="O118" s="5">
        <f t="shared" si="1"/>
        <v>100459800</v>
      </c>
      <c r="P118" s="5">
        <f t="shared" si="2"/>
        <v>73078328.4</v>
      </c>
      <c r="Q118" s="5">
        <f t="shared" si="3"/>
        <v>27381471.6</v>
      </c>
      <c r="R118" s="7">
        <f t="shared" si="4"/>
        <v>0.2725614783</v>
      </c>
      <c r="S118" s="2" t="str">
        <f t="shared" si="5"/>
        <v>2024-10</v>
      </c>
      <c r="T118" s="2" t="str">
        <f t="shared" si="6"/>
        <v>T4-2024</v>
      </c>
    </row>
    <row r="119" ht="15.75" customHeight="1">
      <c r="A119" s="2" t="s">
        <v>176</v>
      </c>
      <c r="B119" s="3">
        <v>45577.0</v>
      </c>
      <c r="C119" s="2" t="s">
        <v>32</v>
      </c>
      <c r="D119" s="2" t="s">
        <v>33</v>
      </c>
      <c r="E119" s="2" t="s">
        <v>41</v>
      </c>
      <c r="F119" s="2" t="s">
        <v>42</v>
      </c>
      <c r="G119" s="2" t="s">
        <v>46</v>
      </c>
      <c r="H119" s="2" t="s">
        <v>30</v>
      </c>
      <c r="I119" s="4">
        <v>126.0</v>
      </c>
      <c r="J119" s="5">
        <v>1704000.0</v>
      </c>
      <c r="K119" s="5">
        <v>1243058.0</v>
      </c>
      <c r="L119" s="2">
        <v>5.0</v>
      </c>
      <c r="M119" s="6">
        <v>6.244</v>
      </c>
      <c r="N119" s="6">
        <v>-75.581</v>
      </c>
      <c r="O119" s="5">
        <f t="shared" si="1"/>
        <v>214704000</v>
      </c>
      <c r="P119" s="5">
        <f t="shared" si="2"/>
        <v>156625308</v>
      </c>
      <c r="Q119" s="5">
        <f t="shared" si="3"/>
        <v>58078692</v>
      </c>
      <c r="R119" s="7">
        <f t="shared" si="4"/>
        <v>0.2705058685</v>
      </c>
      <c r="S119" s="2" t="str">
        <f t="shared" si="5"/>
        <v>2024-10</v>
      </c>
      <c r="T119" s="2" t="str">
        <f t="shared" si="6"/>
        <v>T4-2024</v>
      </c>
    </row>
    <row r="120" ht="15.75" customHeight="1">
      <c r="A120" s="2" t="s">
        <v>177</v>
      </c>
      <c r="B120" s="3">
        <v>45577.0</v>
      </c>
      <c r="C120" s="2" t="s">
        <v>48</v>
      </c>
      <c r="D120" s="2" t="s">
        <v>49</v>
      </c>
      <c r="E120" s="2" t="s">
        <v>88</v>
      </c>
      <c r="F120" s="2" t="s">
        <v>62</v>
      </c>
      <c r="G120" s="2" t="s">
        <v>25</v>
      </c>
      <c r="H120" s="2" t="s">
        <v>37</v>
      </c>
      <c r="I120" s="4">
        <v>112.8</v>
      </c>
      <c r="J120" s="5">
        <v>1494000.0</v>
      </c>
      <c r="K120" s="5">
        <v>977087.0</v>
      </c>
      <c r="L120" s="2">
        <v>4.0</v>
      </c>
      <c r="M120" s="6">
        <v>5.339</v>
      </c>
      <c r="N120" s="6">
        <v>-72.395</v>
      </c>
      <c r="O120" s="5">
        <f t="shared" si="1"/>
        <v>168523200</v>
      </c>
      <c r="P120" s="5">
        <f t="shared" si="2"/>
        <v>110215413.6</v>
      </c>
      <c r="Q120" s="5">
        <f t="shared" si="3"/>
        <v>58307786.4</v>
      </c>
      <c r="R120" s="7">
        <f t="shared" si="4"/>
        <v>0.3459926372</v>
      </c>
      <c r="S120" s="2" t="str">
        <f t="shared" si="5"/>
        <v>2024-10</v>
      </c>
      <c r="T120" s="2" t="str">
        <f t="shared" si="6"/>
        <v>T4-2024</v>
      </c>
    </row>
    <row r="121" ht="15.75" customHeight="1">
      <c r="A121" s="2" t="s">
        <v>178</v>
      </c>
      <c r="B121" s="3">
        <v>45580.0</v>
      </c>
      <c r="C121" s="2" t="s">
        <v>48</v>
      </c>
      <c r="D121" s="2" t="s">
        <v>49</v>
      </c>
      <c r="E121" s="2" t="s">
        <v>23</v>
      </c>
      <c r="F121" s="2" t="s">
        <v>24</v>
      </c>
      <c r="G121" s="2" t="s">
        <v>46</v>
      </c>
      <c r="H121" s="2" t="s">
        <v>54</v>
      </c>
      <c r="I121" s="4">
        <v>117.7</v>
      </c>
      <c r="J121" s="5">
        <v>1770000.0</v>
      </c>
      <c r="K121" s="5">
        <v>1223406.0</v>
      </c>
      <c r="L121" s="2">
        <v>3.0</v>
      </c>
      <c r="M121" s="6">
        <v>5.339</v>
      </c>
      <c r="N121" s="6">
        <v>-72.395</v>
      </c>
      <c r="O121" s="5">
        <f t="shared" si="1"/>
        <v>208329000</v>
      </c>
      <c r="P121" s="5">
        <f t="shared" si="2"/>
        <v>143994886.2</v>
      </c>
      <c r="Q121" s="5">
        <f t="shared" si="3"/>
        <v>64334113.8</v>
      </c>
      <c r="R121" s="7">
        <f t="shared" si="4"/>
        <v>0.3088101695</v>
      </c>
      <c r="S121" s="2" t="str">
        <f t="shared" si="5"/>
        <v>2024-10</v>
      </c>
      <c r="T121" s="2" t="str">
        <f t="shared" si="6"/>
        <v>T4-2024</v>
      </c>
    </row>
    <row r="122" ht="15.75" customHeight="1">
      <c r="A122" s="2" t="s">
        <v>179</v>
      </c>
      <c r="B122" s="3">
        <v>45583.0</v>
      </c>
      <c r="C122" s="2" t="s">
        <v>48</v>
      </c>
      <c r="D122" s="2" t="s">
        <v>49</v>
      </c>
      <c r="E122" s="2" t="s">
        <v>88</v>
      </c>
      <c r="F122" s="2" t="s">
        <v>62</v>
      </c>
      <c r="G122" s="2" t="s">
        <v>43</v>
      </c>
      <c r="H122" s="2" t="s">
        <v>54</v>
      </c>
      <c r="I122" s="4">
        <v>60.9</v>
      </c>
      <c r="J122" s="5">
        <v>1714000.0</v>
      </c>
      <c r="K122" s="5">
        <v>1289890.0</v>
      </c>
      <c r="L122" s="2">
        <v>2.0</v>
      </c>
      <c r="M122" s="6">
        <v>5.339</v>
      </c>
      <c r="N122" s="6">
        <v>-72.395</v>
      </c>
      <c r="O122" s="5">
        <f t="shared" si="1"/>
        <v>104382600</v>
      </c>
      <c r="P122" s="5">
        <f t="shared" si="2"/>
        <v>78554301</v>
      </c>
      <c r="Q122" s="5">
        <f t="shared" si="3"/>
        <v>25828299</v>
      </c>
      <c r="R122" s="7">
        <f t="shared" si="4"/>
        <v>0.2474387398</v>
      </c>
      <c r="S122" s="2" t="str">
        <f t="shared" si="5"/>
        <v>2024-10</v>
      </c>
      <c r="T122" s="2" t="str">
        <f t="shared" si="6"/>
        <v>T4-2024</v>
      </c>
    </row>
    <row r="123" ht="15.75" customHeight="1">
      <c r="A123" s="2" t="s">
        <v>180</v>
      </c>
      <c r="B123" s="3">
        <v>45584.0</v>
      </c>
      <c r="C123" s="2" t="s">
        <v>21</v>
      </c>
      <c r="D123" s="2" t="s">
        <v>22</v>
      </c>
      <c r="E123" s="2" t="s">
        <v>77</v>
      </c>
      <c r="F123" s="2" t="s">
        <v>35</v>
      </c>
      <c r="G123" s="2" t="s">
        <v>46</v>
      </c>
      <c r="H123" s="2" t="s">
        <v>30</v>
      </c>
      <c r="I123" s="4">
        <v>215.4</v>
      </c>
      <c r="J123" s="5">
        <v>2882000.0</v>
      </c>
      <c r="K123" s="5">
        <v>1759295.0</v>
      </c>
      <c r="L123" s="2">
        <v>2.0</v>
      </c>
      <c r="M123" s="6">
        <v>6.189</v>
      </c>
      <c r="N123" s="6">
        <v>-67.486</v>
      </c>
      <c r="O123" s="5">
        <f t="shared" si="1"/>
        <v>620782800</v>
      </c>
      <c r="P123" s="5">
        <f t="shared" si="2"/>
        <v>378952143</v>
      </c>
      <c r="Q123" s="5">
        <f t="shared" si="3"/>
        <v>241830657</v>
      </c>
      <c r="R123" s="7">
        <f t="shared" si="4"/>
        <v>0.3895575989</v>
      </c>
      <c r="S123" s="2" t="str">
        <f t="shared" si="5"/>
        <v>2024-10</v>
      </c>
      <c r="T123" s="2" t="str">
        <f t="shared" si="6"/>
        <v>T4-2024</v>
      </c>
    </row>
    <row r="124" ht="15.75" customHeight="1">
      <c r="A124" s="2" t="s">
        <v>181</v>
      </c>
      <c r="B124" s="3">
        <v>45584.0</v>
      </c>
      <c r="C124" s="2" t="s">
        <v>48</v>
      </c>
      <c r="D124" s="2" t="s">
        <v>49</v>
      </c>
      <c r="E124" s="2" t="s">
        <v>88</v>
      </c>
      <c r="F124" s="2" t="s">
        <v>62</v>
      </c>
      <c r="G124" s="2" t="s">
        <v>63</v>
      </c>
      <c r="H124" s="2" t="s">
        <v>54</v>
      </c>
      <c r="I124" s="4">
        <v>154.6</v>
      </c>
      <c r="J124" s="5">
        <v>1531000.0</v>
      </c>
      <c r="K124" s="5">
        <v>946134.0</v>
      </c>
      <c r="L124" s="2">
        <v>4.0</v>
      </c>
      <c r="M124" s="6">
        <v>5.339</v>
      </c>
      <c r="N124" s="6">
        <v>-72.395</v>
      </c>
      <c r="O124" s="5">
        <f t="shared" si="1"/>
        <v>236692600</v>
      </c>
      <c r="P124" s="5">
        <f t="shared" si="2"/>
        <v>146272316.4</v>
      </c>
      <c r="Q124" s="5">
        <f t="shared" si="3"/>
        <v>90420283.6</v>
      </c>
      <c r="R124" s="7">
        <f t="shared" si="4"/>
        <v>0.382015676</v>
      </c>
      <c r="S124" s="2" t="str">
        <f t="shared" si="5"/>
        <v>2024-10</v>
      </c>
      <c r="T124" s="2" t="str">
        <f t="shared" si="6"/>
        <v>T4-2024</v>
      </c>
    </row>
    <row r="125" ht="15.75" customHeight="1">
      <c r="A125" s="2" t="s">
        <v>182</v>
      </c>
      <c r="B125" s="3">
        <v>45586.0</v>
      </c>
      <c r="C125" s="2" t="s">
        <v>48</v>
      </c>
      <c r="D125" s="2" t="s">
        <v>49</v>
      </c>
      <c r="E125" s="2" t="s">
        <v>67</v>
      </c>
      <c r="F125" s="2" t="s">
        <v>24</v>
      </c>
      <c r="G125" s="2" t="s">
        <v>63</v>
      </c>
      <c r="H125" s="2" t="s">
        <v>78</v>
      </c>
      <c r="I125" s="4">
        <v>295.6</v>
      </c>
      <c r="J125" s="5">
        <v>1.4406E7</v>
      </c>
      <c r="K125" s="5">
        <v>9303596.0</v>
      </c>
      <c r="L125" s="2">
        <v>4.0</v>
      </c>
      <c r="M125" s="6">
        <v>5.339</v>
      </c>
      <c r="N125" s="6">
        <v>-72.395</v>
      </c>
      <c r="O125" s="5">
        <f t="shared" si="1"/>
        <v>4258413600</v>
      </c>
      <c r="P125" s="5">
        <f t="shared" si="2"/>
        <v>2750142978</v>
      </c>
      <c r="Q125" s="5">
        <f t="shared" si="3"/>
        <v>1508270622</v>
      </c>
      <c r="R125" s="7">
        <f t="shared" si="4"/>
        <v>0.3541860336</v>
      </c>
      <c r="S125" s="2" t="str">
        <f t="shared" si="5"/>
        <v>2024-10</v>
      </c>
      <c r="T125" s="2" t="str">
        <f t="shared" si="6"/>
        <v>T4-2024</v>
      </c>
    </row>
    <row r="126" ht="15.75" customHeight="1">
      <c r="A126" s="2" t="s">
        <v>183</v>
      </c>
      <c r="B126" s="3">
        <v>45590.0</v>
      </c>
      <c r="C126" s="2" t="s">
        <v>48</v>
      </c>
      <c r="D126" s="2" t="s">
        <v>49</v>
      </c>
      <c r="E126" s="2" t="s">
        <v>65</v>
      </c>
      <c r="F126" s="2" t="s">
        <v>42</v>
      </c>
      <c r="G126" s="2" t="s">
        <v>46</v>
      </c>
      <c r="H126" s="2" t="s">
        <v>58</v>
      </c>
      <c r="I126" s="4">
        <v>78.8</v>
      </c>
      <c r="J126" s="5">
        <v>3340000.0</v>
      </c>
      <c r="K126" s="5">
        <v>2270822.0</v>
      </c>
      <c r="L126" s="2">
        <v>2.0</v>
      </c>
      <c r="M126" s="6">
        <v>5.339</v>
      </c>
      <c r="N126" s="6">
        <v>-72.395</v>
      </c>
      <c r="O126" s="5">
        <f t="shared" si="1"/>
        <v>263192000</v>
      </c>
      <c r="P126" s="5">
        <f t="shared" si="2"/>
        <v>178940773.6</v>
      </c>
      <c r="Q126" s="5">
        <f t="shared" si="3"/>
        <v>84251226.4</v>
      </c>
      <c r="R126" s="7">
        <f t="shared" si="4"/>
        <v>0.3201131737</v>
      </c>
      <c r="S126" s="2" t="str">
        <f t="shared" si="5"/>
        <v>2024-10</v>
      </c>
      <c r="T126" s="2" t="str">
        <f t="shared" si="6"/>
        <v>T4-2024</v>
      </c>
    </row>
    <row r="127" ht="15.75" customHeight="1">
      <c r="A127" s="2" t="s">
        <v>184</v>
      </c>
      <c r="B127" s="3">
        <v>45593.0</v>
      </c>
      <c r="C127" s="2" t="s">
        <v>51</v>
      </c>
      <c r="D127" s="2" t="s">
        <v>52</v>
      </c>
      <c r="E127" s="2" t="s">
        <v>88</v>
      </c>
      <c r="F127" s="2" t="s">
        <v>62</v>
      </c>
      <c r="G127" s="2" t="s">
        <v>43</v>
      </c>
      <c r="H127" s="2" t="s">
        <v>78</v>
      </c>
      <c r="I127" s="4">
        <v>24.6</v>
      </c>
      <c r="J127" s="5">
        <v>1659000.0</v>
      </c>
      <c r="K127" s="5">
        <v>1003979.0</v>
      </c>
      <c r="L127" s="2">
        <v>5.0</v>
      </c>
      <c r="M127" s="6">
        <v>4.711</v>
      </c>
      <c r="N127" s="6">
        <v>-74.072</v>
      </c>
      <c r="O127" s="5">
        <f t="shared" si="1"/>
        <v>40811400</v>
      </c>
      <c r="P127" s="5">
        <f t="shared" si="2"/>
        <v>24697883.4</v>
      </c>
      <c r="Q127" s="5">
        <f t="shared" si="3"/>
        <v>16113516.6</v>
      </c>
      <c r="R127" s="7">
        <f t="shared" si="4"/>
        <v>0.3948288125</v>
      </c>
      <c r="S127" s="2" t="str">
        <f t="shared" si="5"/>
        <v>2024-10</v>
      </c>
      <c r="T127" s="2" t="str">
        <f t="shared" si="6"/>
        <v>T4-2024</v>
      </c>
    </row>
    <row r="128" ht="15.75" customHeight="1">
      <c r="A128" s="2" t="s">
        <v>185</v>
      </c>
      <c r="B128" s="3">
        <v>45598.0</v>
      </c>
      <c r="C128" s="2" t="s">
        <v>48</v>
      </c>
      <c r="D128" s="2" t="s">
        <v>49</v>
      </c>
      <c r="E128" s="2" t="s">
        <v>41</v>
      </c>
      <c r="F128" s="2" t="s">
        <v>42</v>
      </c>
      <c r="G128" s="2" t="s">
        <v>46</v>
      </c>
      <c r="H128" s="2" t="s">
        <v>26</v>
      </c>
      <c r="I128" s="4">
        <v>171.7</v>
      </c>
      <c r="J128" s="5">
        <v>1880000.0</v>
      </c>
      <c r="K128" s="5">
        <v>1319213.0</v>
      </c>
      <c r="L128" s="2">
        <v>3.0</v>
      </c>
      <c r="M128" s="6">
        <v>5.339</v>
      </c>
      <c r="N128" s="6">
        <v>-72.395</v>
      </c>
      <c r="O128" s="5">
        <f t="shared" si="1"/>
        <v>322796000</v>
      </c>
      <c r="P128" s="5">
        <f t="shared" si="2"/>
        <v>226508872.1</v>
      </c>
      <c r="Q128" s="5">
        <f t="shared" si="3"/>
        <v>96287127.9</v>
      </c>
      <c r="R128" s="7">
        <f t="shared" si="4"/>
        <v>0.2982909574</v>
      </c>
      <c r="S128" s="2" t="str">
        <f t="shared" si="5"/>
        <v>2024-11</v>
      </c>
      <c r="T128" s="2" t="str">
        <f t="shared" si="6"/>
        <v>T4-2024</v>
      </c>
    </row>
    <row r="129" ht="15.75" customHeight="1">
      <c r="A129" s="2" t="s">
        <v>186</v>
      </c>
      <c r="B129" s="3">
        <v>45599.0</v>
      </c>
      <c r="C129" s="2" t="s">
        <v>21</v>
      </c>
      <c r="D129" s="2" t="s">
        <v>22</v>
      </c>
      <c r="E129" s="2" t="s">
        <v>88</v>
      </c>
      <c r="F129" s="2" t="s">
        <v>62</v>
      </c>
      <c r="G129" s="2" t="s">
        <v>63</v>
      </c>
      <c r="H129" s="2" t="s">
        <v>26</v>
      </c>
      <c r="I129" s="4">
        <v>86.6</v>
      </c>
      <c r="J129" s="5">
        <v>1588000.0</v>
      </c>
      <c r="K129" s="5">
        <v>1269036.0</v>
      </c>
      <c r="L129" s="2">
        <v>1.0</v>
      </c>
      <c r="M129" s="6">
        <v>6.189</v>
      </c>
      <c r="N129" s="6">
        <v>-67.486</v>
      </c>
      <c r="O129" s="5">
        <f t="shared" si="1"/>
        <v>137520800</v>
      </c>
      <c r="P129" s="5">
        <f t="shared" si="2"/>
        <v>109898517.6</v>
      </c>
      <c r="Q129" s="5">
        <f t="shared" si="3"/>
        <v>27622282.4</v>
      </c>
      <c r="R129" s="7">
        <f t="shared" si="4"/>
        <v>0.2008589421</v>
      </c>
      <c r="S129" s="2" t="str">
        <f t="shared" si="5"/>
        <v>2024-11</v>
      </c>
      <c r="T129" s="2" t="str">
        <f t="shared" si="6"/>
        <v>T4-2024</v>
      </c>
    </row>
    <row r="130" ht="15.75" customHeight="1">
      <c r="A130" s="2" t="s">
        <v>187</v>
      </c>
      <c r="B130" s="3">
        <v>45603.0</v>
      </c>
      <c r="C130" s="2" t="s">
        <v>48</v>
      </c>
      <c r="D130" s="2" t="s">
        <v>49</v>
      </c>
      <c r="E130" s="2" t="s">
        <v>61</v>
      </c>
      <c r="F130" s="2" t="s">
        <v>62</v>
      </c>
      <c r="G130" s="2" t="s">
        <v>25</v>
      </c>
      <c r="H130" s="2" t="s">
        <v>37</v>
      </c>
      <c r="I130" s="4">
        <v>127.1</v>
      </c>
      <c r="J130" s="5">
        <v>1364000.0</v>
      </c>
      <c r="K130" s="5">
        <v>930654.0</v>
      </c>
      <c r="L130" s="2">
        <v>4.0</v>
      </c>
      <c r="M130" s="6">
        <v>5.339</v>
      </c>
      <c r="N130" s="6">
        <v>-72.395</v>
      </c>
      <c r="O130" s="5">
        <f t="shared" si="1"/>
        <v>173364400</v>
      </c>
      <c r="P130" s="5">
        <f t="shared" si="2"/>
        <v>118286123.4</v>
      </c>
      <c r="Q130" s="5">
        <f t="shared" si="3"/>
        <v>55078276.6</v>
      </c>
      <c r="R130" s="7">
        <f t="shared" si="4"/>
        <v>0.317702346</v>
      </c>
      <c r="S130" s="2" t="str">
        <f t="shared" si="5"/>
        <v>2024-11</v>
      </c>
      <c r="T130" s="2" t="str">
        <f t="shared" si="6"/>
        <v>T4-2024</v>
      </c>
    </row>
    <row r="131" ht="15.75" customHeight="1">
      <c r="A131" s="2" t="s">
        <v>188</v>
      </c>
      <c r="B131" s="3">
        <v>45612.0</v>
      </c>
      <c r="C131" s="2" t="s">
        <v>21</v>
      </c>
      <c r="D131" s="2" t="s">
        <v>22</v>
      </c>
      <c r="E131" s="2" t="s">
        <v>28</v>
      </c>
      <c r="F131" s="2" t="s">
        <v>29</v>
      </c>
      <c r="G131" s="2" t="s">
        <v>46</v>
      </c>
      <c r="H131" s="2" t="s">
        <v>30</v>
      </c>
      <c r="I131" s="4">
        <v>366.9</v>
      </c>
      <c r="J131" s="5">
        <v>1.3813E7</v>
      </c>
      <c r="K131" s="5">
        <v>1.0816362E7</v>
      </c>
      <c r="L131" s="2">
        <v>1.0</v>
      </c>
      <c r="M131" s="6">
        <v>6.189</v>
      </c>
      <c r="N131" s="6">
        <v>-67.486</v>
      </c>
      <c r="O131" s="5">
        <f t="shared" si="1"/>
        <v>5067989700</v>
      </c>
      <c r="P131" s="5">
        <f t="shared" si="2"/>
        <v>3968523218</v>
      </c>
      <c r="Q131" s="5">
        <f t="shared" si="3"/>
        <v>1099466482</v>
      </c>
      <c r="R131" s="7">
        <f t="shared" si="4"/>
        <v>0.2169433143</v>
      </c>
      <c r="S131" s="2" t="str">
        <f t="shared" si="5"/>
        <v>2024-11</v>
      </c>
      <c r="T131" s="2" t="str">
        <f t="shared" si="6"/>
        <v>T4-2024</v>
      </c>
    </row>
    <row r="132" ht="15.75" customHeight="1">
      <c r="A132" s="2" t="s">
        <v>189</v>
      </c>
      <c r="B132" s="3">
        <v>45613.0</v>
      </c>
      <c r="C132" s="2" t="s">
        <v>56</v>
      </c>
      <c r="D132" s="2" t="s">
        <v>57</v>
      </c>
      <c r="E132" s="2" t="s">
        <v>65</v>
      </c>
      <c r="F132" s="2" t="s">
        <v>42</v>
      </c>
      <c r="G132" s="2" t="s">
        <v>43</v>
      </c>
      <c r="H132" s="2" t="s">
        <v>78</v>
      </c>
      <c r="I132" s="4">
        <v>131.9</v>
      </c>
      <c r="J132" s="5">
        <v>3336000.0</v>
      </c>
      <c r="K132" s="5">
        <v>2324684.0</v>
      </c>
      <c r="L132" s="2">
        <v>1.0</v>
      </c>
      <c r="M132" s="6">
        <v>4.142</v>
      </c>
      <c r="N132" s="6">
        <v>-73.626</v>
      </c>
      <c r="O132" s="5">
        <f t="shared" si="1"/>
        <v>440018400</v>
      </c>
      <c r="P132" s="5">
        <f t="shared" si="2"/>
        <v>306625819.6</v>
      </c>
      <c r="Q132" s="5">
        <f t="shared" si="3"/>
        <v>133392580.4</v>
      </c>
      <c r="R132" s="7">
        <f t="shared" si="4"/>
        <v>0.3031522782</v>
      </c>
      <c r="S132" s="2" t="str">
        <f t="shared" si="5"/>
        <v>2024-11</v>
      </c>
      <c r="T132" s="2" t="str">
        <f t="shared" si="6"/>
        <v>T4-2024</v>
      </c>
    </row>
    <row r="133" ht="15.75" customHeight="1">
      <c r="A133" s="2" t="s">
        <v>190</v>
      </c>
      <c r="B133" s="3">
        <v>45615.0</v>
      </c>
      <c r="C133" s="2" t="s">
        <v>39</v>
      </c>
      <c r="D133" s="2" t="s">
        <v>40</v>
      </c>
      <c r="E133" s="2" t="s">
        <v>41</v>
      </c>
      <c r="F133" s="2" t="s">
        <v>42</v>
      </c>
      <c r="G133" s="2" t="s">
        <v>43</v>
      </c>
      <c r="H133" s="2" t="s">
        <v>58</v>
      </c>
      <c r="I133" s="4">
        <v>42.1</v>
      </c>
      <c r="J133" s="5">
        <v>1610000.0</v>
      </c>
      <c r="K133" s="5">
        <v>1195414.0</v>
      </c>
      <c r="L133" s="2">
        <v>3.0</v>
      </c>
      <c r="M133" s="6">
        <v>4.439</v>
      </c>
      <c r="N133" s="6">
        <v>-75.232</v>
      </c>
      <c r="O133" s="5">
        <f t="shared" si="1"/>
        <v>67781000</v>
      </c>
      <c r="P133" s="5">
        <f t="shared" si="2"/>
        <v>50326929.4</v>
      </c>
      <c r="Q133" s="5">
        <f t="shared" si="3"/>
        <v>17454070.6</v>
      </c>
      <c r="R133" s="7">
        <f t="shared" si="4"/>
        <v>0.2575068323</v>
      </c>
      <c r="S133" s="2" t="str">
        <f t="shared" si="5"/>
        <v>2024-11</v>
      </c>
      <c r="T133" s="2" t="str">
        <f t="shared" si="6"/>
        <v>T4-2024</v>
      </c>
    </row>
    <row r="134" ht="15.75" customHeight="1">
      <c r="A134" s="2" t="s">
        <v>191</v>
      </c>
      <c r="B134" s="3">
        <v>45622.0</v>
      </c>
      <c r="C134" s="2" t="s">
        <v>48</v>
      </c>
      <c r="D134" s="2" t="s">
        <v>49</v>
      </c>
      <c r="E134" s="2" t="s">
        <v>53</v>
      </c>
      <c r="F134" s="2" t="s">
        <v>29</v>
      </c>
      <c r="G134" s="2" t="s">
        <v>25</v>
      </c>
      <c r="H134" s="2" t="s">
        <v>26</v>
      </c>
      <c r="I134" s="4">
        <v>176.8</v>
      </c>
      <c r="J134" s="5">
        <v>1.1586E7</v>
      </c>
      <c r="K134" s="5">
        <v>7491745.0</v>
      </c>
      <c r="L134" s="2">
        <v>3.0</v>
      </c>
      <c r="M134" s="6">
        <v>5.339</v>
      </c>
      <c r="N134" s="6">
        <v>-72.395</v>
      </c>
      <c r="O134" s="5">
        <f t="shared" si="1"/>
        <v>2048404800</v>
      </c>
      <c r="P134" s="5">
        <f t="shared" si="2"/>
        <v>1324540516</v>
      </c>
      <c r="Q134" s="5">
        <f t="shared" si="3"/>
        <v>723864284</v>
      </c>
      <c r="R134" s="7">
        <f t="shared" si="4"/>
        <v>0.3533795098</v>
      </c>
      <c r="S134" s="2" t="str">
        <f t="shared" si="5"/>
        <v>2024-11</v>
      </c>
      <c r="T134" s="2" t="str">
        <f t="shared" si="6"/>
        <v>T4-2024</v>
      </c>
    </row>
    <row r="135" ht="15.75" customHeight="1">
      <c r="A135" s="2" t="s">
        <v>192</v>
      </c>
      <c r="B135" s="3">
        <v>45623.0</v>
      </c>
      <c r="C135" s="2" t="s">
        <v>48</v>
      </c>
      <c r="D135" s="2" t="s">
        <v>49</v>
      </c>
      <c r="E135" s="2" t="s">
        <v>65</v>
      </c>
      <c r="F135" s="2" t="s">
        <v>42</v>
      </c>
      <c r="G135" s="2" t="s">
        <v>46</v>
      </c>
      <c r="H135" s="2" t="s">
        <v>26</v>
      </c>
      <c r="I135" s="4">
        <v>41.1</v>
      </c>
      <c r="J135" s="5">
        <v>3115000.0</v>
      </c>
      <c r="K135" s="5">
        <v>2167226.0</v>
      </c>
      <c r="L135" s="2">
        <v>1.0</v>
      </c>
      <c r="M135" s="6">
        <v>5.339</v>
      </c>
      <c r="N135" s="6">
        <v>-72.395</v>
      </c>
      <c r="O135" s="5">
        <f t="shared" si="1"/>
        <v>128026500</v>
      </c>
      <c r="P135" s="5">
        <f t="shared" si="2"/>
        <v>89072988.6</v>
      </c>
      <c r="Q135" s="5">
        <f t="shared" si="3"/>
        <v>38953511.4</v>
      </c>
      <c r="R135" s="7">
        <f t="shared" si="4"/>
        <v>0.3042613162</v>
      </c>
      <c r="S135" s="2" t="str">
        <f t="shared" si="5"/>
        <v>2024-11</v>
      </c>
      <c r="T135" s="2" t="str">
        <f t="shared" si="6"/>
        <v>T4-2024</v>
      </c>
    </row>
    <row r="136" ht="15.75" customHeight="1">
      <c r="A136" s="2" t="s">
        <v>193</v>
      </c>
      <c r="B136" s="3">
        <v>45624.0</v>
      </c>
      <c r="C136" s="2" t="s">
        <v>60</v>
      </c>
      <c r="D136" s="2" t="s">
        <v>60</v>
      </c>
      <c r="E136" s="2" t="s">
        <v>34</v>
      </c>
      <c r="F136" s="2" t="s">
        <v>35</v>
      </c>
      <c r="G136" s="2" t="s">
        <v>36</v>
      </c>
      <c r="H136" s="2" t="s">
        <v>30</v>
      </c>
      <c r="I136" s="4">
        <v>232.2</v>
      </c>
      <c r="J136" s="5">
        <v>2774000.0</v>
      </c>
      <c r="K136" s="5">
        <v>1779590.0</v>
      </c>
      <c r="L136" s="2">
        <v>5.0</v>
      </c>
      <c r="M136" s="6">
        <v>7.084</v>
      </c>
      <c r="N136" s="6">
        <v>-70.759</v>
      </c>
      <c r="O136" s="5">
        <f t="shared" si="1"/>
        <v>644122800</v>
      </c>
      <c r="P136" s="5">
        <f t="shared" si="2"/>
        <v>413220798</v>
      </c>
      <c r="Q136" s="5">
        <f t="shared" si="3"/>
        <v>230902002</v>
      </c>
      <c r="R136" s="7">
        <f t="shared" si="4"/>
        <v>0.3584751262</v>
      </c>
      <c r="S136" s="2" t="str">
        <f t="shared" si="5"/>
        <v>2024-11</v>
      </c>
      <c r="T136" s="2" t="str">
        <f t="shared" si="6"/>
        <v>T4-2024</v>
      </c>
    </row>
    <row r="137" ht="15.75" customHeight="1">
      <c r="A137" s="2" t="s">
        <v>194</v>
      </c>
      <c r="B137" s="3">
        <v>45624.0</v>
      </c>
      <c r="C137" s="2" t="s">
        <v>21</v>
      </c>
      <c r="D137" s="2" t="s">
        <v>22</v>
      </c>
      <c r="E137" s="2" t="s">
        <v>65</v>
      </c>
      <c r="F137" s="2" t="s">
        <v>42</v>
      </c>
      <c r="G137" s="2" t="s">
        <v>46</v>
      </c>
      <c r="H137" s="2" t="s">
        <v>30</v>
      </c>
      <c r="I137" s="4">
        <v>114.5</v>
      </c>
      <c r="J137" s="5">
        <v>3025000.0</v>
      </c>
      <c r="K137" s="5">
        <v>2107991.0</v>
      </c>
      <c r="L137" s="2">
        <v>5.0</v>
      </c>
      <c r="M137" s="6">
        <v>6.189</v>
      </c>
      <c r="N137" s="6">
        <v>-67.486</v>
      </c>
      <c r="O137" s="5">
        <f t="shared" si="1"/>
        <v>346362500</v>
      </c>
      <c r="P137" s="5">
        <f t="shared" si="2"/>
        <v>241364969.5</v>
      </c>
      <c r="Q137" s="5">
        <f t="shared" si="3"/>
        <v>104997530.5</v>
      </c>
      <c r="R137" s="7">
        <f t="shared" si="4"/>
        <v>0.3031434711</v>
      </c>
      <c r="S137" s="2" t="str">
        <f t="shared" si="5"/>
        <v>2024-11</v>
      </c>
      <c r="T137" s="2" t="str">
        <f t="shared" si="6"/>
        <v>T4-2024</v>
      </c>
    </row>
    <row r="138" ht="15.75" customHeight="1">
      <c r="A138" s="2" t="s">
        <v>195</v>
      </c>
      <c r="B138" s="3">
        <v>45626.0</v>
      </c>
      <c r="C138" s="2" t="s">
        <v>32</v>
      </c>
      <c r="D138" s="2" t="s">
        <v>33</v>
      </c>
      <c r="E138" s="2" t="s">
        <v>53</v>
      </c>
      <c r="F138" s="2" t="s">
        <v>29</v>
      </c>
      <c r="G138" s="2" t="s">
        <v>25</v>
      </c>
      <c r="H138" s="2" t="s">
        <v>30</v>
      </c>
      <c r="I138" s="4">
        <v>274.4</v>
      </c>
      <c r="J138" s="5">
        <v>1.0726E7</v>
      </c>
      <c r="K138" s="5">
        <v>6816370.0</v>
      </c>
      <c r="L138" s="2">
        <v>1.0</v>
      </c>
      <c r="M138" s="6">
        <v>6.244</v>
      </c>
      <c r="N138" s="6">
        <v>-75.581</v>
      </c>
      <c r="O138" s="5">
        <f t="shared" si="1"/>
        <v>2943214400</v>
      </c>
      <c r="P138" s="5">
        <f t="shared" si="2"/>
        <v>1870411928</v>
      </c>
      <c r="Q138" s="5">
        <f t="shared" si="3"/>
        <v>1072802472</v>
      </c>
      <c r="R138" s="7">
        <f t="shared" si="4"/>
        <v>0.3645002797</v>
      </c>
      <c r="S138" s="2" t="str">
        <f t="shared" si="5"/>
        <v>2024-11</v>
      </c>
      <c r="T138" s="2" t="str">
        <f t="shared" si="6"/>
        <v>T4-2024</v>
      </c>
    </row>
    <row r="139" ht="15.75" customHeight="1">
      <c r="A139" s="2" t="s">
        <v>196</v>
      </c>
      <c r="B139" s="3">
        <v>45626.0</v>
      </c>
      <c r="C139" s="2" t="s">
        <v>48</v>
      </c>
      <c r="D139" s="2" t="s">
        <v>49</v>
      </c>
      <c r="E139" s="2" t="s">
        <v>28</v>
      </c>
      <c r="F139" s="2" t="s">
        <v>29</v>
      </c>
      <c r="G139" s="2" t="s">
        <v>36</v>
      </c>
      <c r="H139" s="2" t="s">
        <v>54</v>
      </c>
      <c r="I139" s="4">
        <v>305.4</v>
      </c>
      <c r="J139" s="5">
        <v>1.4589E7</v>
      </c>
      <c r="K139" s="5">
        <v>1.1579694E7</v>
      </c>
      <c r="L139" s="2">
        <v>5.0</v>
      </c>
      <c r="M139" s="6">
        <v>5.339</v>
      </c>
      <c r="N139" s="6">
        <v>-72.395</v>
      </c>
      <c r="O139" s="5">
        <f t="shared" si="1"/>
        <v>4455480600</v>
      </c>
      <c r="P139" s="5">
        <f t="shared" si="2"/>
        <v>3536438548</v>
      </c>
      <c r="Q139" s="5">
        <f t="shared" si="3"/>
        <v>919042052.4</v>
      </c>
      <c r="R139" s="7">
        <f t="shared" si="4"/>
        <v>0.2062722599</v>
      </c>
      <c r="S139" s="2" t="str">
        <f t="shared" si="5"/>
        <v>2024-11</v>
      </c>
      <c r="T139" s="2" t="str">
        <f t="shared" si="6"/>
        <v>T4-2024</v>
      </c>
    </row>
    <row r="140" ht="15.75" customHeight="1">
      <c r="A140" s="2" t="s">
        <v>197</v>
      </c>
      <c r="B140" s="3">
        <v>45628.0</v>
      </c>
      <c r="C140" s="2" t="s">
        <v>60</v>
      </c>
      <c r="D140" s="2" t="s">
        <v>60</v>
      </c>
      <c r="E140" s="2" t="s">
        <v>67</v>
      </c>
      <c r="F140" s="2" t="s">
        <v>24</v>
      </c>
      <c r="G140" s="2" t="s">
        <v>46</v>
      </c>
      <c r="H140" s="2" t="s">
        <v>58</v>
      </c>
      <c r="I140" s="4">
        <v>227.9</v>
      </c>
      <c r="J140" s="5">
        <v>1.511E7</v>
      </c>
      <c r="K140" s="5">
        <v>1.0385835E7</v>
      </c>
      <c r="L140" s="2">
        <v>5.0</v>
      </c>
      <c r="M140" s="6">
        <v>7.084</v>
      </c>
      <c r="N140" s="6">
        <v>-70.759</v>
      </c>
      <c r="O140" s="5">
        <f t="shared" si="1"/>
        <v>3443569000</v>
      </c>
      <c r="P140" s="5">
        <f t="shared" si="2"/>
        <v>2366931797</v>
      </c>
      <c r="Q140" s="5">
        <f t="shared" si="3"/>
        <v>1076637204</v>
      </c>
      <c r="R140" s="7">
        <f t="shared" si="4"/>
        <v>0.3126515553</v>
      </c>
      <c r="S140" s="2" t="str">
        <f t="shared" si="5"/>
        <v>2024-12</v>
      </c>
      <c r="T140" s="2" t="str">
        <f t="shared" si="6"/>
        <v>T4-2024</v>
      </c>
    </row>
    <row r="141" ht="15.75" customHeight="1">
      <c r="A141" s="2" t="s">
        <v>198</v>
      </c>
      <c r="B141" s="3">
        <v>45630.0</v>
      </c>
      <c r="C141" s="2" t="s">
        <v>39</v>
      </c>
      <c r="D141" s="2" t="s">
        <v>40</v>
      </c>
      <c r="E141" s="2" t="s">
        <v>53</v>
      </c>
      <c r="F141" s="2" t="s">
        <v>29</v>
      </c>
      <c r="G141" s="2" t="s">
        <v>25</v>
      </c>
      <c r="H141" s="2" t="s">
        <v>30</v>
      </c>
      <c r="I141" s="4">
        <v>120.8</v>
      </c>
      <c r="J141" s="5">
        <v>9944000.0</v>
      </c>
      <c r="K141" s="5">
        <v>6031476.0</v>
      </c>
      <c r="L141" s="2">
        <v>2.0</v>
      </c>
      <c r="M141" s="6">
        <v>4.439</v>
      </c>
      <c r="N141" s="6">
        <v>-75.232</v>
      </c>
      <c r="O141" s="5">
        <f t="shared" si="1"/>
        <v>1201235200</v>
      </c>
      <c r="P141" s="5">
        <f t="shared" si="2"/>
        <v>728602300.8</v>
      </c>
      <c r="Q141" s="5">
        <f t="shared" si="3"/>
        <v>472632899.2</v>
      </c>
      <c r="R141" s="7">
        <f t="shared" si="4"/>
        <v>0.3934557522</v>
      </c>
      <c r="S141" s="2" t="str">
        <f t="shared" si="5"/>
        <v>2024-12</v>
      </c>
      <c r="T141" s="2" t="str">
        <f t="shared" si="6"/>
        <v>T4-2024</v>
      </c>
    </row>
    <row r="142" ht="15.75" customHeight="1">
      <c r="A142" s="2" t="s">
        <v>199</v>
      </c>
      <c r="B142" s="3">
        <v>45631.0</v>
      </c>
      <c r="C142" s="2" t="s">
        <v>56</v>
      </c>
      <c r="D142" s="2" t="s">
        <v>57</v>
      </c>
      <c r="E142" s="2" t="s">
        <v>65</v>
      </c>
      <c r="F142" s="2" t="s">
        <v>42</v>
      </c>
      <c r="G142" s="2" t="s">
        <v>46</v>
      </c>
      <c r="H142" s="2" t="s">
        <v>54</v>
      </c>
      <c r="I142" s="4">
        <v>150.7</v>
      </c>
      <c r="J142" s="5">
        <v>3035000.0</v>
      </c>
      <c r="K142" s="5">
        <v>1785844.0</v>
      </c>
      <c r="L142" s="2">
        <v>5.0</v>
      </c>
      <c r="M142" s="6">
        <v>4.142</v>
      </c>
      <c r="N142" s="6">
        <v>-73.626</v>
      </c>
      <c r="O142" s="5">
        <f t="shared" si="1"/>
        <v>457374500</v>
      </c>
      <c r="P142" s="5">
        <f t="shared" si="2"/>
        <v>269126690.8</v>
      </c>
      <c r="Q142" s="5">
        <f t="shared" si="3"/>
        <v>188247809.2</v>
      </c>
      <c r="R142" s="7">
        <f t="shared" si="4"/>
        <v>0.4115835255</v>
      </c>
      <c r="S142" s="2" t="str">
        <f t="shared" si="5"/>
        <v>2024-12</v>
      </c>
      <c r="T142" s="2" t="str">
        <f t="shared" si="6"/>
        <v>T4-2024</v>
      </c>
    </row>
    <row r="143" ht="15.75" customHeight="1">
      <c r="A143" s="2" t="s">
        <v>200</v>
      </c>
      <c r="B143" s="3">
        <v>45631.0</v>
      </c>
      <c r="C143" s="2" t="s">
        <v>32</v>
      </c>
      <c r="D143" s="2" t="s">
        <v>33</v>
      </c>
      <c r="E143" s="2" t="s">
        <v>41</v>
      </c>
      <c r="F143" s="2" t="s">
        <v>42</v>
      </c>
      <c r="G143" s="2" t="s">
        <v>25</v>
      </c>
      <c r="H143" s="2" t="s">
        <v>26</v>
      </c>
      <c r="I143" s="4">
        <v>104.8</v>
      </c>
      <c r="J143" s="5">
        <v>1733000.0</v>
      </c>
      <c r="K143" s="5">
        <v>1010991.0</v>
      </c>
      <c r="L143" s="2">
        <v>2.0</v>
      </c>
      <c r="M143" s="6">
        <v>6.244</v>
      </c>
      <c r="N143" s="6">
        <v>-75.581</v>
      </c>
      <c r="O143" s="5">
        <f t="shared" si="1"/>
        <v>181618400</v>
      </c>
      <c r="P143" s="5">
        <f t="shared" si="2"/>
        <v>105951856.8</v>
      </c>
      <c r="Q143" s="5">
        <f t="shared" si="3"/>
        <v>75666543.2</v>
      </c>
      <c r="R143" s="7">
        <f t="shared" si="4"/>
        <v>0.4166237738</v>
      </c>
      <c r="S143" s="2" t="str">
        <f t="shared" si="5"/>
        <v>2024-12</v>
      </c>
      <c r="T143" s="2" t="str">
        <f t="shared" si="6"/>
        <v>T4-2024</v>
      </c>
    </row>
    <row r="144" ht="15.75" customHeight="1">
      <c r="A144" s="2" t="s">
        <v>201</v>
      </c>
      <c r="B144" s="3">
        <v>45635.0</v>
      </c>
      <c r="C144" s="2" t="s">
        <v>32</v>
      </c>
      <c r="D144" s="2" t="s">
        <v>33</v>
      </c>
      <c r="E144" s="2" t="s">
        <v>41</v>
      </c>
      <c r="F144" s="2" t="s">
        <v>42</v>
      </c>
      <c r="G144" s="2" t="s">
        <v>36</v>
      </c>
      <c r="H144" s="2" t="s">
        <v>58</v>
      </c>
      <c r="I144" s="4">
        <v>65.1</v>
      </c>
      <c r="J144" s="5">
        <v>1601000.0</v>
      </c>
      <c r="K144" s="5">
        <v>980481.0</v>
      </c>
      <c r="L144" s="2">
        <v>1.0</v>
      </c>
      <c r="M144" s="6">
        <v>6.244</v>
      </c>
      <c r="N144" s="6">
        <v>-75.581</v>
      </c>
      <c r="O144" s="5">
        <f t="shared" si="1"/>
        <v>104225100</v>
      </c>
      <c r="P144" s="5">
        <f t="shared" si="2"/>
        <v>63829313.1</v>
      </c>
      <c r="Q144" s="5">
        <f t="shared" si="3"/>
        <v>40395786.9</v>
      </c>
      <c r="R144" s="7">
        <f t="shared" si="4"/>
        <v>0.3875821362</v>
      </c>
      <c r="S144" s="2" t="str">
        <f t="shared" si="5"/>
        <v>2024-12</v>
      </c>
      <c r="T144" s="2" t="str">
        <f t="shared" si="6"/>
        <v>T4-2024</v>
      </c>
    </row>
    <row r="145" ht="15.75" customHeight="1">
      <c r="A145" s="2" t="s">
        <v>202</v>
      </c>
      <c r="B145" s="3">
        <v>45638.0</v>
      </c>
      <c r="C145" s="2" t="s">
        <v>60</v>
      </c>
      <c r="D145" s="2" t="s">
        <v>60</v>
      </c>
      <c r="E145" s="2" t="s">
        <v>41</v>
      </c>
      <c r="F145" s="2" t="s">
        <v>42</v>
      </c>
      <c r="G145" s="2" t="s">
        <v>63</v>
      </c>
      <c r="H145" s="2" t="s">
        <v>54</v>
      </c>
      <c r="I145" s="4">
        <v>146.8</v>
      </c>
      <c r="J145" s="5">
        <v>1615000.0</v>
      </c>
      <c r="K145" s="5">
        <v>1242308.0</v>
      </c>
      <c r="L145" s="2">
        <v>4.0</v>
      </c>
      <c r="M145" s="6">
        <v>7.084</v>
      </c>
      <c r="N145" s="6">
        <v>-70.759</v>
      </c>
      <c r="O145" s="5">
        <f t="shared" si="1"/>
        <v>237082000</v>
      </c>
      <c r="P145" s="5">
        <f t="shared" si="2"/>
        <v>182370814.4</v>
      </c>
      <c r="Q145" s="5">
        <f t="shared" si="3"/>
        <v>54711185.6</v>
      </c>
      <c r="R145" s="7">
        <f t="shared" si="4"/>
        <v>0.2307690402</v>
      </c>
      <c r="S145" s="2" t="str">
        <f t="shared" si="5"/>
        <v>2024-12</v>
      </c>
      <c r="T145" s="2" t="str">
        <f t="shared" si="6"/>
        <v>T4-2024</v>
      </c>
    </row>
    <row r="146" ht="15.75" customHeight="1">
      <c r="A146" s="2" t="s">
        <v>203</v>
      </c>
      <c r="B146" s="3">
        <v>45638.0</v>
      </c>
      <c r="C146" s="2" t="s">
        <v>32</v>
      </c>
      <c r="D146" s="2" t="s">
        <v>33</v>
      </c>
      <c r="E146" s="2" t="s">
        <v>34</v>
      </c>
      <c r="F146" s="2" t="s">
        <v>35</v>
      </c>
      <c r="G146" s="2" t="s">
        <v>25</v>
      </c>
      <c r="H146" s="2" t="s">
        <v>58</v>
      </c>
      <c r="I146" s="4">
        <v>144.1</v>
      </c>
      <c r="J146" s="5">
        <v>2693000.0</v>
      </c>
      <c r="K146" s="5">
        <v>2042720.0</v>
      </c>
      <c r="L146" s="2">
        <v>1.0</v>
      </c>
      <c r="M146" s="6">
        <v>6.244</v>
      </c>
      <c r="N146" s="6">
        <v>-75.581</v>
      </c>
      <c r="O146" s="5">
        <f t="shared" si="1"/>
        <v>388061300</v>
      </c>
      <c r="P146" s="5">
        <f t="shared" si="2"/>
        <v>294355952</v>
      </c>
      <c r="Q146" s="5">
        <f t="shared" si="3"/>
        <v>93705348</v>
      </c>
      <c r="R146" s="7">
        <f t="shared" si="4"/>
        <v>0.241470479</v>
      </c>
      <c r="S146" s="2" t="str">
        <f t="shared" si="5"/>
        <v>2024-12</v>
      </c>
      <c r="T146" s="2" t="str">
        <f t="shared" si="6"/>
        <v>T4-2024</v>
      </c>
    </row>
    <row r="147" ht="15.75" customHeight="1">
      <c r="A147" s="2" t="s">
        <v>204</v>
      </c>
      <c r="B147" s="3">
        <v>45645.0</v>
      </c>
      <c r="C147" s="2" t="s">
        <v>39</v>
      </c>
      <c r="D147" s="2" t="s">
        <v>40</v>
      </c>
      <c r="E147" s="2" t="s">
        <v>77</v>
      </c>
      <c r="F147" s="2" t="s">
        <v>35</v>
      </c>
      <c r="G147" s="2" t="s">
        <v>63</v>
      </c>
      <c r="H147" s="2" t="s">
        <v>37</v>
      </c>
      <c r="I147" s="4">
        <v>179.1</v>
      </c>
      <c r="J147" s="5">
        <v>3140000.0</v>
      </c>
      <c r="K147" s="5">
        <v>1913359.0</v>
      </c>
      <c r="L147" s="2">
        <v>3.0</v>
      </c>
      <c r="M147" s="6">
        <v>4.439</v>
      </c>
      <c r="N147" s="6">
        <v>-75.232</v>
      </c>
      <c r="O147" s="5">
        <f t="shared" si="1"/>
        <v>562374000</v>
      </c>
      <c r="P147" s="5">
        <f t="shared" si="2"/>
        <v>342682596.9</v>
      </c>
      <c r="Q147" s="5">
        <f t="shared" si="3"/>
        <v>219691403.1</v>
      </c>
      <c r="R147" s="7">
        <f t="shared" si="4"/>
        <v>0.39065</v>
      </c>
      <c r="S147" s="2" t="str">
        <f t="shared" si="5"/>
        <v>2024-12</v>
      </c>
      <c r="T147" s="2" t="str">
        <f t="shared" si="6"/>
        <v>T4-2024</v>
      </c>
    </row>
    <row r="148" ht="15.75" customHeight="1">
      <c r="A148" s="2" t="s">
        <v>205</v>
      </c>
      <c r="B148" s="3">
        <v>45651.0</v>
      </c>
      <c r="C148" s="2" t="s">
        <v>56</v>
      </c>
      <c r="D148" s="2" t="s">
        <v>57</v>
      </c>
      <c r="E148" s="2" t="s">
        <v>88</v>
      </c>
      <c r="F148" s="2" t="s">
        <v>62</v>
      </c>
      <c r="G148" s="2" t="s">
        <v>46</v>
      </c>
      <c r="H148" s="2" t="s">
        <v>37</v>
      </c>
      <c r="I148" s="4">
        <v>179.7</v>
      </c>
      <c r="J148" s="5">
        <v>1440000.0</v>
      </c>
      <c r="K148" s="5">
        <v>1037784.0</v>
      </c>
      <c r="L148" s="2">
        <v>1.0</v>
      </c>
      <c r="M148" s="6">
        <v>4.142</v>
      </c>
      <c r="N148" s="6">
        <v>-73.626</v>
      </c>
      <c r="O148" s="5">
        <f t="shared" si="1"/>
        <v>258768000</v>
      </c>
      <c r="P148" s="5">
        <f t="shared" si="2"/>
        <v>186489784.8</v>
      </c>
      <c r="Q148" s="5">
        <f t="shared" si="3"/>
        <v>72278215.2</v>
      </c>
      <c r="R148" s="7">
        <f t="shared" si="4"/>
        <v>0.2793166667</v>
      </c>
      <c r="S148" s="2" t="str">
        <f t="shared" si="5"/>
        <v>2024-12</v>
      </c>
      <c r="T148" s="2" t="str">
        <f t="shared" si="6"/>
        <v>T4-2024</v>
      </c>
    </row>
    <row r="149" ht="15.75" customHeight="1">
      <c r="A149" s="2" t="s">
        <v>206</v>
      </c>
      <c r="B149" s="3">
        <v>45654.0</v>
      </c>
      <c r="C149" s="2" t="s">
        <v>60</v>
      </c>
      <c r="D149" s="2" t="s">
        <v>60</v>
      </c>
      <c r="E149" s="2" t="s">
        <v>41</v>
      </c>
      <c r="F149" s="2" t="s">
        <v>42</v>
      </c>
      <c r="G149" s="2" t="s">
        <v>63</v>
      </c>
      <c r="H149" s="2" t="s">
        <v>78</v>
      </c>
      <c r="I149" s="4">
        <v>11.4</v>
      </c>
      <c r="J149" s="5">
        <v>1539000.0</v>
      </c>
      <c r="K149" s="5">
        <v>1184513.0</v>
      </c>
      <c r="L149" s="2">
        <v>5.0</v>
      </c>
      <c r="M149" s="6">
        <v>7.084</v>
      </c>
      <c r="N149" s="6">
        <v>-70.759</v>
      </c>
      <c r="O149" s="5">
        <f t="shared" si="1"/>
        <v>17544600</v>
      </c>
      <c r="P149" s="5">
        <f t="shared" si="2"/>
        <v>13503448.2</v>
      </c>
      <c r="Q149" s="5">
        <f t="shared" si="3"/>
        <v>4041151.8</v>
      </c>
      <c r="R149" s="7">
        <f t="shared" si="4"/>
        <v>0.2303359324</v>
      </c>
      <c r="S149" s="2" t="str">
        <f t="shared" si="5"/>
        <v>2024-12</v>
      </c>
      <c r="T149" s="2" t="str">
        <f t="shared" si="6"/>
        <v>T4-2024</v>
      </c>
    </row>
    <row r="150" ht="15.75" customHeight="1">
      <c r="A150" s="2" t="s">
        <v>207</v>
      </c>
      <c r="B150" s="3">
        <v>45657.0</v>
      </c>
      <c r="C150" s="2" t="s">
        <v>32</v>
      </c>
      <c r="D150" s="2" t="s">
        <v>33</v>
      </c>
      <c r="E150" s="2" t="s">
        <v>65</v>
      </c>
      <c r="F150" s="2" t="s">
        <v>42</v>
      </c>
      <c r="G150" s="2" t="s">
        <v>46</v>
      </c>
      <c r="H150" s="2" t="s">
        <v>30</v>
      </c>
      <c r="I150" s="4">
        <v>40.6</v>
      </c>
      <c r="J150" s="5">
        <v>3088000.0</v>
      </c>
      <c r="K150" s="5">
        <v>2087887.0</v>
      </c>
      <c r="L150" s="2">
        <v>4.0</v>
      </c>
      <c r="M150" s="6">
        <v>6.244</v>
      </c>
      <c r="N150" s="6">
        <v>-75.581</v>
      </c>
      <c r="O150" s="5">
        <f t="shared" si="1"/>
        <v>125372800</v>
      </c>
      <c r="P150" s="5">
        <f t="shared" si="2"/>
        <v>84768212.2</v>
      </c>
      <c r="Q150" s="5">
        <f t="shared" si="3"/>
        <v>40604587.8</v>
      </c>
      <c r="R150" s="7">
        <f t="shared" si="4"/>
        <v>0.3238707902</v>
      </c>
      <c r="S150" s="2" t="str">
        <f t="shared" si="5"/>
        <v>2024-12</v>
      </c>
      <c r="T150" s="2" t="str">
        <f t="shared" si="6"/>
        <v>T4-2024</v>
      </c>
    </row>
    <row r="151" ht="15.75" customHeight="1">
      <c r="A151" s="2" t="s">
        <v>208</v>
      </c>
      <c r="B151" s="3">
        <v>45658.0</v>
      </c>
      <c r="C151" s="2" t="s">
        <v>39</v>
      </c>
      <c r="D151" s="2" t="s">
        <v>40</v>
      </c>
      <c r="E151" s="2" t="s">
        <v>77</v>
      </c>
      <c r="F151" s="2" t="s">
        <v>35</v>
      </c>
      <c r="G151" s="2" t="s">
        <v>36</v>
      </c>
      <c r="H151" s="2" t="s">
        <v>58</v>
      </c>
      <c r="I151" s="4">
        <v>33.6</v>
      </c>
      <c r="J151" s="5">
        <v>3373000.0</v>
      </c>
      <c r="K151" s="5">
        <v>2612421.0</v>
      </c>
      <c r="L151" s="2">
        <v>4.0</v>
      </c>
      <c r="M151" s="6">
        <v>4.439</v>
      </c>
      <c r="N151" s="6">
        <v>-75.232</v>
      </c>
      <c r="O151" s="5">
        <f t="shared" si="1"/>
        <v>113332800</v>
      </c>
      <c r="P151" s="5">
        <f t="shared" si="2"/>
        <v>87777345.6</v>
      </c>
      <c r="Q151" s="5">
        <f t="shared" si="3"/>
        <v>25555454.4</v>
      </c>
      <c r="R151" s="7">
        <f t="shared" si="4"/>
        <v>0.2254903647</v>
      </c>
      <c r="S151" s="2" t="str">
        <f t="shared" si="5"/>
        <v>2025-01</v>
      </c>
      <c r="T151" s="2" t="str">
        <f t="shared" si="6"/>
        <v>T1-2025</v>
      </c>
    </row>
    <row r="152" ht="15.75" customHeight="1">
      <c r="A152" s="2" t="s">
        <v>209</v>
      </c>
      <c r="B152" s="3">
        <v>45663.0</v>
      </c>
      <c r="C152" s="2" t="s">
        <v>39</v>
      </c>
      <c r="D152" s="2" t="s">
        <v>40</v>
      </c>
      <c r="E152" s="2" t="s">
        <v>41</v>
      </c>
      <c r="F152" s="2" t="s">
        <v>42</v>
      </c>
      <c r="G152" s="2" t="s">
        <v>46</v>
      </c>
      <c r="H152" s="2" t="s">
        <v>37</v>
      </c>
      <c r="I152" s="4">
        <v>173.9</v>
      </c>
      <c r="J152" s="5">
        <v>1830000.0</v>
      </c>
      <c r="K152" s="5">
        <v>1205802.0</v>
      </c>
      <c r="L152" s="2">
        <v>4.0</v>
      </c>
      <c r="M152" s="6">
        <v>4.439</v>
      </c>
      <c r="N152" s="6">
        <v>-75.232</v>
      </c>
      <c r="O152" s="5">
        <f t="shared" si="1"/>
        <v>318237000</v>
      </c>
      <c r="P152" s="5">
        <f t="shared" si="2"/>
        <v>209688967.8</v>
      </c>
      <c r="Q152" s="5">
        <f t="shared" si="3"/>
        <v>108548032.2</v>
      </c>
      <c r="R152" s="7">
        <f t="shared" si="4"/>
        <v>0.3410918033</v>
      </c>
      <c r="S152" s="2" t="str">
        <f t="shared" si="5"/>
        <v>2025-01</v>
      </c>
      <c r="T152" s="2" t="str">
        <f t="shared" si="6"/>
        <v>T1-2025</v>
      </c>
    </row>
    <row r="153" ht="15.75" customHeight="1">
      <c r="A153" s="2" t="s">
        <v>210</v>
      </c>
      <c r="B153" s="3">
        <v>45664.0</v>
      </c>
      <c r="C153" s="2" t="s">
        <v>56</v>
      </c>
      <c r="D153" s="2" t="s">
        <v>57</v>
      </c>
      <c r="E153" s="2" t="s">
        <v>28</v>
      </c>
      <c r="F153" s="2" t="s">
        <v>29</v>
      </c>
      <c r="G153" s="2" t="s">
        <v>46</v>
      </c>
      <c r="H153" s="2" t="s">
        <v>37</v>
      </c>
      <c r="I153" s="4">
        <v>131.5</v>
      </c>
      <c r="J153" s="5">
        <v>1.4473E7</v>
      </c>
      <c r="K153" s="5">
        <v>8791154.0</v>
      </c>
      <c r="L153" s="2">
        <v>3.0</v>
      </c>
      <c r="M153" s="6">
        <v>4.142</v>
      </c>
      <c r="N153" s="6">
        <v>-73.626</v>
      </c>
      <c r="O153" s="5">
        <f t="shared" si="1"/>
        <v>1903199500</v>
      </c>
      <c r="P153" s="5">
        <f t="shared" si="2"/>
        <v>1156036751</v>
      </c>
      <c r="Q153" s="5">
        <f t="shared" si="3"/>
        <v>747162749</v>
      </c>
      <c r="R153" s="7">
        <f t="shared" si="4"/>
        <v>0.3925824639</v>
      </c>
      <c r="S153" s="2" t="str">
        <f t="shared" si="5"/>
        <v>2025-01</v>
      </c>
      <c r="T153" s="2" t="str">
        <f t="shared" si="6"/>
        <v>T1-2025</v>
      </c>
    </row>
    <row r="154" ht="15.75" customHeight="1">
      <c r="A154" s="2" t="s">
        <v>211</v>
      </c>
      <c r="B154" s="3">
        <v>45666.0</v>
      </c>
      <c r="C154" s="2" t="s">
        <v>32</v>
      </c>
      <c r="D154" s="2" t="s">
        <v>33</v>
      </c>
      <c r="E154" s="2" t="s">
        <v>41</v>
      </c>
      <c r="F154" s="2" t="s">
        <v>42</v>
      </c>
      <c r="G154" s="2" t="s">
        <v>25</v>
      </c>
      <c r="H154" s="2" t="s">
        <v>26</v>
      </c>
      <c r="I154" s="4">
        <v>56.7</v>
      </c>
      <c r="J154" s="5">
        <v>1563000.0</v>
      </c>
      <c r="K154" s="5">
        <v>1062923.0</v>
      </c>
      <c r="L154" s="2">
        <v>3.0</v>
      </c>
      <c r="M154" s="6">
        <v>6.244</v>
      </c>
      <c r="N154" s="6">
        <v>-75.581</v>
      </c>
      <c r="O154" s="5">
        <f t="shared" si="1"/>
        <v>88622100</v>
      </c>
      <c r="P154" s="5">
        <f t="shared" si="2"/>
        <v>60267734.1</v>
      </c>
      <c r="Q154" s="5">
        <f t="shared" si="3"/>
        <v>28354365.9</v>
      </c>
      <c r="R154" s="7">
        <f t="shared" si="4"/>
        <v>0.319946897</v>
      </c>
      <c r="S154" s="2" t="str">
        <f t="shared" si="5"/>
        <v>2025-01</v>
      </c>
      <c r="T154" s="2" t="str">
        <f t="shared" si="6"/>
        <v>T1-2025</v>
      </c>
    </row>
    <row r="155" ht="15.75" customHeight="1">
      <c r="A155" s="2" t="s">
        <v>212</v>
      </c>
      <c r="B155" s="3">
        <v>45667.0</v>
      </c>
      <c r="C155" s="2" t="s">
        <v>21</v>
      </c>
      <c r="D155" s="2" t="s">
        <v>22</v>
      </c>
      <c r="E155" s="2" t="s">
        <v>28</v>
      </c>
      <c r="F155" s="2" t="s">
        <v>29</v>
      </c>
      <c r="G155" s="2" t="s">
        <v>46</v>
      </c>
      <c r="H155" s="2" t="s">
        <v>54</v>
      </c>
      <c r="I155" s="4">
        <v>369.5</v>
      </c>
      <c r="J155" s="5">
        <v>1.1106E7</v>
      </c>
      <c r="K155" s="5">
        <v>8238969.0</v>
      </c>
      <c r="L155" s="2">
        <v>4.0</v>
      </c>
      <c r="M155" s="6">
        <v>6.189</v>
      </c>
      <c r="N155" s="6">
        <v>-67.486</v>
      </c>
      <c r="O155" s="5">
        <f t="shared" si="1"/>
        <v>4103667000</v>
      </c>
      <c r="P155" s="5">
        <f t="shared" si="2"/>
        <v>3044299046</v>
      </c>
      <c r="Q155" s="5">
        <f t="shared" si="3"/>
        <v>1059367955</v>
      </c>
      <c r="R155" s="7">
        <f t="shared" si="4"/>
        <v>0.2581515397</v>
      </c>
      <c r="S155" s="2" t="str">
        <f t="shared" si="5"/>
        <v>2025-01</v>
      </c>
      <c r="T155" s="2" t="str">
        <f t="shared" si="6"/>
        <v>T1-2025</v>
      </c>
    </row>
    <row r="156" ht="15.75" customHeight="1">
      <c r="A156" s="2" t="s">
        <v>213</v>
      </c>
      <c r="B156" s="3">
        <v>45668.0</v>
      </c>
      <c r="C156" s="2" t="s">
        <v>60</v>
      </c>
      <c r="D156" s="2" t="s">
        <v>60</v>
      </c>
      <c r="E156" s="2" t="s">
        <v>23</v>
      </c>
      <c r="F156" s="2" t="s">
        <v>24</v>
      </c>
      <c r="G156" s="2" t="s">
        <v>25</v>
      </c>
      <c r="H156" s="2" t="s">
        <v>30</v>
      </c>
      <c r="I156" s="4">
        <v>132.3</v>
      </c>
      <c r="J156" s="5">
        <v>2014000.0</v>
      </c>
      <c r="K156" s="5">
        <v>1401827.0</v>
      </c>
      <c r="L156" s="2">
        <v>2.0</v>
      </c>
      <c r="M156" s="6">
        <v>7.084</v>
      </c>
      <c r="N156" s="6">
        <v>-70.759</v>
      </c>
      <c r="O156" s="5">
        <f t="shared" si="1"/>
        <v>266452200</v>
      </c>
      <c r="P156" s="5">
        <f t="shared" si="2"/>
        <v>185461712.1</v>
      </c>
      <c r="Q156" s="5">
        <f t="shared" si="3"/>
        <v>80990487.9</v>
      </c>
      <c r="R156" s="7">
        <f t="shared" si="4"/>
        <v>0.3039587885</v>
      </c>
      <c r="S156" s="2" t="str">
        <f t="shared" si="5"/>
        <v>2025-01</v>
      </c>
      <c r="T156" s="2" t="str">
        <f t="shared" si="6"/>
        <v>T1-2025</v>
      </c>
    </row>
    <row r="157" ht="15.75" customHeight="1">
      <c r="A157" s="2" t="s">
        <v>214</v>
      </c>
      <c r="B157" s="3">
        <v>45671.0</v>
      </c>
      <c r="C157" s="2" t="s">
        <v>60</v>
      </c>
      <c r="D157" s="2" t="s">
        <v>60</v>
      </c>
      <c r="E157" s="2" t="s">
        <v>67</v>
      </c>
      <c r="F157" s="2" t="s">
        <v>24</v>
      </c>
      <c r="G157" s="2" t="s">
        <v>43</v>
      </c>
      <c r="H157" s="2" t="s">
        <v>58</v>
      </c>
      <c r="I157" s="4">
        <v>230.3</v>
      </c>
      <c r="J157" s="5">
        <v>1.5626E7</v>
      </c>
      <c r="K157" s="5">
        <v>1.0489337E7</v>
      </c>
      <c r="L157" s="2">
        <v>1.0</v>
      </c>
      <c r="M157" s="6">
        <v>7.084</v>
      </c>
      <c r="N157" s="6">
        <v>-70.759</v>
      </c>
      <c r="O157" s="5">
        <f t="shared" si="1"/>
        <v>3598667800</v>
      </c>
      <c r="P157" s="5">
        <f t="shared" si="2"/>
        <v>2415694311</v>
      </c>
      <c r="Q157" s="5">
        <f t="shared" si="3"/>
        <v>1182973489</v>
      </c>
      <c r="R157" s="7">
        <f t="shared" si="4"/>
        <v>0.3287253936</v>
      </c>
      <c r="S157" s="2" t="str">
        <f t="shared" si="5"/>
        <v>2025-01</v>
      </c>
      <c r="T157" s="2" t="str">
        <f t="shared" si="6"/>
        <v>T1-2025</v>
      </c>
    </row>
    <row r="158" ht="15.75" customHeight="1">
      <c r="A158" s="2" t="s">
        <v>215</v>
      </c>
      <c r="B158" s="3">
        <v>45674.0</v>
      </c>
      <c r="C158" s="2" t="s">
        <v>60</v>
      </c>
      <c r="D158" s="2" t="s">
        <v>60</v>
      </c>
      <c r="E158" s="2" t="s">
        <v>77</v>
      </c>
      <c r="F158" s="2" t="s">
        <v>35</v>
      </c>
      <c r="G158" s="2" t="s">
        <v>63</v>
      </c>
      <c r="H158" s="2" t="s">
        <v>30</v>
      </c>
      <c r="I158" s="4">
        <v>61.6</v>
      </c>
      <c r="J158" s="5">
        <v>3126000.0</v>
      </c>
      <c r="K158" s="5">
        <v>2453228.0</v>
      </c>
      <c r="L158" s="2">
        <v>3.0</v>
      </c>
      <c r="M158" s="6">
        <v>7.084</v>
      </c>
      <c r="N158" s="6">
        <v>-70.759</v>
      </c>
      <c r="O158" s="5">
        <f t="shared" si="1"/>
        <v>192561600</v>
      </c>
      <c r="P158" s="5">
        <f t="shared" si="2"/>
        <v>151118844.8</v>
      </c>
      <c r="Q158" s="5">
        <f t="shared" si="3"/>
        <v>41442755.2</v>
      </c>
      <c r="R158" s="7">
        <f t="shared" si="4"/>
        <v>0.2152181702</v>
      </c>
      <c r="S158" s="2" t="str">
        <f t="shared" si="5"/>
        <v>2025-01</v>
      </c>
      <c r="T158" s="2" t="str">
        <f t="shared" si="6"/>
        <v>T1-2025</v>
      </c>
    </row>
    <row r="159" ht="15.75" customHeight="1">
      <c r="A159" s="2" t="s">
        <v>216</v>
      </c>
      <c r="B159" s="3">
        <v>45681.0</v>
      </c>
      <c r="C159" s="2" t="s">
        <v>56</v>
      </c>
      <c r="D159" s="2" t="s">
        <v>57</v>
      </c>
      <c r="E159" s="2" t="s">
        <v>88</v>
      </c>
      <c r="F159" s="2" t="s">
        <v>62</v>
      </c>
      <c r="G159" s="2" t="s">
        <v>46</v>
      </c>
      <c r="H159" s="2" t="s">
        <v>30</v>
      </c>
      <c r="I159" s="4">
        <v>137.5</v>
      </c>
      <c r="J159" s="5">
        <v>1736000.0</v>
      </c>
      <c r="K159" s="5">
        <v>1347416.0</v>
      </c>
      <c r="L159" s="2">
        <v>4.0</v>
      </c>
      <c r="M159" s="6">
        <v>4.142</v>
      </c>
      <c r="N159" s="6">
        <v>-73.626</v>
      </c>
      <c r="O159" s="5">
        <f t="shared" si="1"/>
        <v>238700000</v>
      </c>
      <c r="P159" s="5">
        <f t="shared" si="2"/>
        <v>185269700</v>
      </c>
      <c r="Q159" s="5">
        <f t="shared" si="3"/>
        <v>53430300</v>
      </c>
      <c r="R159" s="7">
        <f t="shared" si="4"/>
        <v>0.2238387097</v>
      </c>
      <c r="S159" s="2" t="str">
        <f t="shared" si="5"/>
        <v>2025-01</v>
      </c>
      <c r="T159" s="2" t="str">
        <f t="shared" si="6"/>
        <v>T1-2025</v>
      </c>
    </row>
    <row r="160" ht="15.75" customHeight="1">
      <c r="A160" s="2" t="s">
        <v>217</v>
      </c>
      <c r="B160" s="3">
        <v>45682.0</v>
      </c>
      <c r="C160" s="2" t="s">
        <v>39</v>
      </c>
      <c r="D160" s="2" t="s">
        <v>40</v>
      </c>
      <c r="E160" s="2" t="s">
        <v>28</v>
      </c>
      <c r="F160" s="2" t="s">
        <v>29</v>
      </c>
      <c r="G160" s="2" t="s">
        <v>36</v>
      </c>
      <c r="H160" s="2" t="s">
        <v>78</v>
      </c>
      <c r="I160" s="4">
        <v>371.1</v>
      </c>
      <c r="J160" s="5">
        <v>1.1517E7</v>
      </c>
      <c r="K160" s="5">
        <v>7952535.0</v>
      </c>
      <c r="L160" s="2">
        <v>5.0</v>
      </c>
      <c r="M160" s="6">
        <v>4.439</v>
      </c>
      <c r="N160" s="6">
        <v>-75.232</v>
      </c>
      <c r="O160" s="5">
        <f t="shared" si="1"/>
        <v>4273958700</v>
      </c>
      <c r="P160" s="5">
        <f t="shared" si="2"/>
        <v>2951185739</v>
      </c>
      <c r="Q160" s="5">
        <f t="shared" si="3"/>
        <v>1322772962</v>
      </c>
      <c r="R160" s="7">
        <f t="shared" si="4"/>
        <v>0.3094959625</v>
      </c>
      <c r="S160" s="2" t="str">
        <f t="shared" si="5"/>
        <v>2025-01</v>
      </c>
      <c r="T160" s="2" t="str">
        <f t="shared" si="6"/>
        <v>T1-2025</v>
      </c>
    </row>
    <row r="161" ht="15.75" customHeight="1">
      <c r="A161" s="2" t="s">
        <v>218</v>
      </c>
      <c r="B161" s="3">
        <v>45682.0</v>
      </c>
      <c r="C161" s="2" t="s">
        <v>21</v>
      </c>
      <c r="D161" s="2" t="s">
        <v>22</v>
      </c>
      <c r="E161" s="2" t="s">
        <v>23</v>
      </c>
      <c r="F161" s="2" t="s">
        <v>24</v>
      </c>
      <c r="G161" s="2" t="s">
        <v>43</v>
      </c>
      <c r="H161" s="2" t="s">
        <v>30</v>
      </c>
      <c r="I161" s="4">
        <v>166.8</v>
      </c>
      <c r="J161" s="5">
        <v>1802000.0</v>
      </c>
      <c r="K161" s="5">
        <v>1053858.0</v>
      </c>
      <c r="L161" s="2">
        <v>4.0</v>
      </c>
      <c r="M161" s="6">
        <v>6.189</v>
      </c>
      <c r="N161" s="6">
        <v>-67.486</v>
      </c>
      <c r="O161" s="5">
        <f t="shared" si="1"/>
        <v>300573600</v>
      </c>
      <c r="P161" s="5">
        <f t="shared" si="2"/>
        <v>175783514.4</v>
      </c>
      <c r="Q161" s="5">
        <f t="shared" si="3"/>
        <v>124790085.6</v>
      </c>
      <c r="R161" s="7">
        <f t="shared" si="4"/>
        <v>0.415173141</v>
      </c>
      <c r="S161" s="2" t="str">
        <f t="shared" si="5"/>
        <v>2025-01</v>
      </c>
      <c r="T161" s="2" t="str">
        <f t="shared" si="6"/>
        <v>T1-2025</v>
      </c>
    </row>
    <row r="162" ht="15.75" customHeight="1">
      <c r="A162" s="2" t="s">
        <v>219</v>
      </c>
      <c r="B162" s="3">
        <v>45682.0</v>
      </c>
      <c r="C162" s="2" t="s">
        <v>56</v>
      </c>
      <c r="D162" s="2" t="s">
        <v>57</v>
      </c>
      <c r="E162" s="2" t="s">
        <v>53</v>
      </c>
      <c r="F162" s="2" t="s">
        <v>29</v>
      </c>
      <c r="G162" s="2" t="s">
        <v>36</v>
      </c>
      <c r="H162" s="2" t="s">
        <v>78</v>
      </c>
      <c r="I162" s="4">
        <v>23.6</v>
      </c>
      <c r="J162" s="5">
        <v>1.1299E7</v>
      </c>
      <c r="K162" s="5">
        <v>7368771.0</v>
      </c>
      <c r="L162" s="2">
        <v>5.0</v>
      </c>
      <c r="M162" s="6">
        <v>4.142</v>
      </c>
      <c r="N162" s="6">
        <v>-73.626</v>
      </c>
      <c r="O162" s="5">
        <f t="shared" si="1"/>
        <v>266656400</v>
      </c>
      <c r="P162" s="5">
        <f t="shared" si="2"/>
        <v>173902995.6</v>
      </c>
      <c r="Q162" s="5">
        <f t="shared" si="3"/>
        <v>92753404.4</v>
      </c>
      <c r="R162" s="7">
        <f t="shared" si="4"/>
        <v>0.3478386583</v>
      </c>
      <c r="S162" s="2" t="str">
        <f t="shared" si="5"/>
        <v>2025-01</v>
      </c>
      <c r="T162" s="2" t="str">
        <f t="shared" si="6"/>
        <v>T1-2025</v>
      </c>
    </row>
    <row r="163" ht="15.75" customHeight="1">
      <c r="A163" s="2" t="s">
        <v>220</v>
      </c>
      <c r="B163" s="3">
        <v>45684.0</v>
      </c>
      <c r="C163" s="2" t="s">
        <v>39</v>
      </c>
      <c r="D163" s="2" t="s">
        <v>40</v>
      </c>
      <c r="E163" s="2" t="s">
        <v>34</v>
      </c>
      <c r="F163" s="2" t="s">
        <v>35</v>
      </c>
      <c r="G163" s="2" t="s">
        <v>36</v>
      </c>
      <c r="H163" s="2" t="s">
        <v>26</v>
      </c>
      <c r="I163" s="4">
        <v>126.5</v>
      </c>
      <c r="J163" s="5">
        <v>2769000.0</v>
      </c>
      <c r="K163" s="5">
        <v>1936568.0</v>
      </c>
      <c r="L163" s="2">
        <v>4.0</v>
      </c>
      <c r="M163" s="6">
        <v>4.439</v>
      </c>
      <c r="N163" s="6">
        <v>-75.232</v>
      </c>
      <c r="O163" s="5">
        <f t="shared" si="1"/>
        <v>350278500</v>
      </c>
      <c r="P163" s="5">
        <f t="shared" si="2"/>
        <v>244975852</v>
      </c>
      <c r="Q163" s="5">
        <f t="shared" si="3"/>
        <v>105302648</v>
      </c>
      <c r="R163" s="7">
        <f t="shared" si="4"/>
        <v>0.3006254966</v>
      </c>
      <c r="S163" s="2" t="str">
        <f t="shared" si="5"/>
        <v>2025-01</v>
      </c>
      <c r="T163" s="2" t="str">
        <f t="shared" si="6"/>
        <v>T1-2025</v>
      </c>
    </row>
    <row r="164" ht="15.75" customHeight="1">
      <c r="A164" s="2" t="s">
        <v>221</v>
      </c>
      <c r="B164" s="3">
        <v>45697.0</v>
      </c>
      <c r="C164" s="2" t="s">
        <v>39</v>
      </c>
      <c r="D164" s="2" t="s">
        <v>40</v>
      </c>
      <c r="E164" s="2" t="s">
        <v>61</v>
      </c>
      <c r="F164" s="2" t="s">
        <v>62</v>
      </c>
      <c r="G164" s="2" t="s">
        <v>46</v>
      </c>
      <c r="H164" s="2" t="s">
        <v>54</v>
      </c>
      <c r="I164" s="4">
        <v>73.6</v>
      </c>
      <c r="J164" s="5">
        <v>1286000.0</v>
      </c>
      <c r="K164" s="5">
        <v>767489.0</v>
      </c>
      <c r="L164" s="2">
        <v>1.0</v>
      </c>
      <c r="M164" s="6">
        <v>4.439</v>
      </c>
      <c r="N164" s="6">
        <v>-75.232</v>
      </c>
      <c r="O164" s="5">
        <f t="shared" si="1"/>
        <v>94649600</v>
      </c>
      <c r="P164" s="5">
        <f t="shared" si="2"/>
        <v>56487190.4</v>
      </c>
      <c r="Q164" s="5">
        <f t="shared" si="3"/>
        <v>38162409.6</v>
      </c>
      <c r="R164" s="7">
        <f t="shared" si="4"/>
        <v>0.4031967341</v>
      </c>
      <c r="S164" s="2" t="str">
        <f t="shared" si="5"/>
        <v>2025-02</v>
      </c>
      <c r="T164" s="2" t="str">
        <f t="shared" si="6"/>
        <v>T1-2025</v>
      </c>
    </row>
    <row r="165" ht="15.75" customHeight="1">
      <c r="A165" s="2" t="s">
        <v>222</v>
      </c>
      <c r="B165" s="3">
        <v>45698.0</v>
      </c>
      <c r="C165" s="2" t="s">
        <v>56</v>
      </c>
      <c r="D165" s="2" t="s">
        <v>57</v>
      </c>
      <c r="E165" s="2" t="s">
        <v>77</v>
      </c>
      <c r="F165" s="2" t="s">
        <v>35</v>
      </c>
      <c r="G165" s="2" t="s">
        <v>43</v>
      </c>
      <c r="H165" s="2" t="s">
        <v>58</v>
      </c>
      <c r="I165" s="4">
        <v>201.0</v>
      </c>
      <c r="J165" s="5">
        <v>3048000.0</v>
      </c>
      <c r="K165" s="5">
        <v>1836171.0</v>
      </c>
      <c r="L165" s="2">
        <v>3.0</v>
      </c>
      <c r="M165" s="6">
        <v>4.142</v>
      </c>
      <c r="N165" s="6">
        <v>-73.626</v>
      </c>
      <c r="O165" s="5">
        <f t="shared" si="1"/>
        <v>612648000</v>
      </c>
      <c r="P165" s="5">
        <f t="shared" si="2"/>
        <v>369070371</v>
      </c>
      <c r="Q165" s="5">
        <f t="shared" si="3"/>
        <v>243577629</v>
      </c>
      <c r="R165" s="7">
        <f t="shared" si="4"/>
        <v>0.3975816929</v>
      </c>
      <c r="S165" s="2" t="str">
        <f t="shared" si="5"/>
        <v>2025-02</v>
      </c>
      <c r="T165" s="2" t="str">
        <f t="shared" si="6"/>
        <v>T1-2025</v>
      </c>
    </row>
    <row r="166" ht="15.75" customHeight="1">
      <c r="A166" s="2" t="s">
        <v>223</v>
      </c>
      <c r="B166" s="3">
        <v>45700.0</v>
      </c>
      <c r="C166" s="2" t="s">
        <v>48</v>
      </c>
      <c r="D166" s="2" t="s">
        <v>49</v>
      </c>
      <c r="E166" s="2" t="s">
        <v>53</v>
      </c>
      <c r="F166" s="2" t="s">
        <v>29</v>
      </c>
      <c r="G166" s="2" t="s">
        <v>36</v>
      </c>
      <c r="H166" s="2" t="s">
        <v>37</v>
      </c>
      <c r="I166" s="4">
        <v>185.3</v>
      </c>
      <c r="J166" s="5">
        <v>9192000.0</v>
      </c>
      <c r="K166" s="5">
        <v>7072717.0</v>
      </c>
      <c r="L166" s="2">
        <v>2.0</v>
      </c>
      <c r="M166" s="6">
        <v>5.339</v>
      </c>
      <c r="N166" s="6">
        <v>-72.395</v>
      </c>
      <c r="O166" s="5">
        <f t="shared" si="1"/>
        <v>1703277600</v>
      </c>
      <c r="P166" s="5">
        <f t="shared" si="2"/>
        <v>1310574460</v>
      </c>
      <c r="Q166" s="5">
        <f t="shared" si="3"/>
        <v>392703139.9</v>
      </c>
      <c r="R166" s="7">
        <f t="shared" si="4"/>
        <v>0.2305573325</v>
      </c>
      <c r="S166" s="2" t="str">
        <f t="shared" si="5"/>
        <v>2025-02</v>
      </c>
      <c r="T166" s="2" t="str">
        <f t="shared" si="6"/>
        <v>T1-2025</v>
      </c>
    </row>
    <row r="167" ht="15.75" customHeight="1">
      <c r="A167" s="2" t="s">
        <v>224</v>
      </c>
      <c r="B167" s="3">
        <v>45710.0</v>
      </c>
      <c r="C167" s="2" t="s">
        <v>39</v>
      </c>
      <c r="D167" s="2" t="s">
        <v>40</v>
      </c>
      <c r="E167" s="2" t="s">
        <v>53</v>
      </c>
      <c r="F167" s="2" t="s">
        <v>29</v>
      </c>
      <c r="G167" s="2" t="s">
        <v>43</v>
      </c>
      <c r="H167" s="2" t="s">
        <v>26</v>
      </c>
      <c r="I167" s="4">
        <v>287.3</v>
      </c>
      <c r="J167" s="5">
        <v>1.1651E7</v>
      </c>
      <c r="K167" s="5">
        <v>7615360.0</v>
      </c>
      <c r="L167" s="2">
        <v>3.0</v>
      </c>
      <c r="M167" s="6">
        <v>4.439</v>
      </c>
      <c r="N167" s="6">
        <v>-75.232</v>
      </c>
      <c r="O167" s="5">
        <f t="shared" si="1"/>
        <v>3347332300</v>
      </c>
      <c r="P167" s="5">
        <f t="shared" si="2"/>
        <v>2187892928</v>
      </c>
      <c r="Q167" s="5">
        <f t="shared" si="3"/>
        <v>1159439372</v>
      </c>
      <c r="R167" s="7">
        <f t="shared" si="4"/>
        <v>0.346377135</v>
      </c>
      <c r="S167" s="2" t="str">
        <f t="shared" si="5"/>
        <v>2025-02</v>
      </c>
      <c r="T167" s="2" t="str">
        <f t="shared" si="6"/>
        <v>T1-2025</v>
      </c>
    </row>
    <row r="168" ht="15.75" customHeight="1">
      <c r="A168" s="2" t="s">
        <v>225</v>
      </c>
      <c r="B168" s="3">
        <v>45711.0</v>
      </c>
      <c r="C168" s="2" t="s">
        <v>56</v>
      </c>
      <c r="D168" s="2" t="s">
        <v>57</v>
      </c>
      <c r="E168" s="2" t="s">
        <v>34</v>
      </c>
      <c r="F168" s="2" t="s">
        <v>35</v>
      </c>
      <c r="G168" s="2" t="s">
        <v>25</v>
      </c>
      <c r="H168" s="2" t="s">
        <v>30</v>
      </c>
      <c r="I168" s="4">
        <v>105.4</v>
      </c>
      <c r="J168" s="5">
        <v>2954000.0</v>
      </c>
      <c r="K168" s="5">
        <v>1971636.0</v>
      </c>
      <c r="L168" s="2">
        <v>1.0</v>
      </c>
      <c r="M168" s="6">
        <v>4.142</v>
      </c>
      <c r="N168" s="6">
        <v>-73.626</v>
      </c>
      <c r="O168" s="5">
        <f t="shared" si="1"/>
        <v>311351600</v>
      </c>
      <c r="P168" s="5">
        <f t="shared" si="2"/>
        <v>207810434.4</v>
      </c>
      <c r="Q168" s="5">
        <f t="shared" si="3"/>
        <v>103541165.6</v>
      </c>
      <c r="R168" s="7">
        <f t="shared" si="4"/>
        <v>0.3325538253</v>
      </c>
      <c r="S168" s="2" t="str">
        <f t="shared" si="5"/>
        <v>2025-02</v>
      </c>
      <c r="T168" s="2" t="str">
        <f t="shared" si="6"/>
        <v>T1-2025</v>
      </c>
    </row>
    <row r="169" ht="15.75" customHeight="1">
      <c r="A169" s="2" t="s">
        <v>226</v>
      </c>
      <c r="B169" s="3">
        <v>45713.0</v>
      </c>
      <c r="C169" s="2" t="s">
        <v>21</v>
      </c>
      <c r="D169" s="2" t="s">
        <v>22</v>
      </c>
      <c r="E169" s="2" t="s">
        <v>77</v>
      </c>
      <c r="F169" s="2" t="s">
        <v>35</v>
      </c>
      <c r="G169" s="2" t="s">
        <v>36</v>
      </c>
      <c r="H169" s="2" t="s">
        <v>58</v>
      </c>
      <c r="I169" s="4">
        <v>34.9</v>
      </c>
      <c r="J169" s="5">
        <v>2839000.0</v>
      </c>
      <c r="K169" s="5">
        <v>2182880.0</v>
      </c>
      <c r="L169" s="2">
        <v>2.0</v>
      </c>
      <c r="M169" s="6">
        <v>6.189</v>
      </c>
      <c r="N169" s="6">
        <v>-67.486</v>
      </c>
      <c r="O169" s="5">
        <f t="shared" si="1"/>
        <v>99081100</v>
      </c>
      <c r="P169" s="5">
        <f t="shared" si="2"/>
        <v>76182512</v>
      </c>
      <c r="Q169" s="5">
        <f t="shared" si="3"/>
        <v>22898588</v>
      </c>
      <c r="R169" s="7">
        <f t="shared" si="4"/>
        <v>0.2311095456</v>
      </c>
      <c r="S169" s="2" t="str">
        <f t="shared" si="5"/>
        <v>2025-02</v>
      </c>
      <c r="T169" s="2" t="str">
        <f t="shared" si="6"/>
        <v>T1-2025</v>
      </c>
    </row>
    <row r="170" ht="15.75" customHeight="1">
      <c r="A170" s="2" t="s">
        <v>227</v>
      </c>
      <c r="B170" s="3">
        <v>45713.0</v>
      </c>
      <c r="C170" s="2" t="s">
        <v>21</v>
      </c>
      <c r="D170" s="2" t="s">
        <v>22</v>
      </c>
      <c r="E170" s="2" t="s">
        <v>88</v>
      </c>
      <c r="F170" s="2" t="s">
        <v>62</v>
      </c>
      <c r="G170" s="2" t="s">
        <v>25</v>
      </c>
      <c r="H170" s="2" t="s">
        <v>37</v>
      </c>
      <c r="I170" s="4">
        <v>13.8</v>
      </c>
      <c r="J170" s="5">
        <v>1345000.0</v>
      </c>
      <c r="K170" s="5">
        <v>873166.0</v>
      </c>
      <c r="L170" s="2">
        <v>3.0</v>
      </c>
      <c r="M170" s="6">
        <v>6.189</v>
      </c>
      <c r="N170" s="6">
        <v>-67.486</v>
      </c>
      <c r="O170" s="5">
        <f t="shared" si="1"/>
        <v>18561000</v>
      </c>
      <c r="P170" s="5">
        <f t="shared" si="2"/>
        <v>12049690.8</v>
      </c>
      <c r="Q170" s="5">
        <f t="shared" si="3"/>
        <v>6511309.2</v>
      </c>
      <c r="R170" s="7">
        <f t="shared" si="4"/>
        <v>0.350805948</v>
      </c>
      <c r="S170" s="2" t="str">
        <f t="shared" si="5"/>
        <v>2025-02</v>
      </c>
      <c r="T170" s="2" t="str">
        <f t="shared" si="6"/>
        <v>T1-2025</v>
      </c>
    </row>
    <row r="171" ht="15.75" customHeight="1">
      <c r="A171" s="2" t="s">
        <v>228</v>
      </c>
      <c r="B171" s="3">
        <v>45717.0</v>
      </c>
      <c r="C171" s="2" t="s">
        <v>60</v>
      </c>
      <c r="D171" s="2" t="s">
        <v>60</v>
      </c>
      <c r="E171" s="2" t="s">
        <v>88</v>
      </c>
      <c r="F171" s="2" t="s">
        <v>62</v>
      </c>
      <c r="G171" s="2" t="s">
        <v>36</v>
      </c>
      <c r="H171" s="2" t="s">
        <v>78</v>
      </c>
      <c r="I171" s="4">
        <v>102.6</v>
      </c>
      <c r="J171" s="5">
        <v>1496000.0</v>
      </c>
      <c r="K171" s="5">
        <v>930414.0</v>
      </c>
      <c r="L171" s="2">
        <v>5.0</v>
      </c>
      <c r="M171" s="6">
        <v>7.084</v>
      </c>
      <c r="N171" s="6">
        <v>-70.759</v>
      </c>
      <c r="O171" s="5">
        <f t="shared" si="1"/>
        <v>153489600</v>
      </c>
      <c r="P171" s="5">
        <f t="shared" si="2"/>
        <v>95460476.4</v>
      </c>
      <c r="Q171" s="5">
        <f t="shared" si="3"/>
        <v>58029123.6</v>
      </c>
      <c r="R171" s="7">
        <f t="shared" si="4"/>
        <v>0.378065508</v>
      </c>
      <c r="S171" s="2" t="str">
        <f t="shared" si="5"/>
        <v>2025-03</v>
      </c>
      <c r="T171" s="2" t="str">
        <f t="shared" si="6"/>
        <v>T1-2025</v>
      </c>
    </row>
    <row r="172" ht="15.75" customHeight="1">
      <c r="A172" s="2" t="s">
        <v>229</v>
      </c>
      <c r="B172" s="3">
        <v>45722.0</v>
      </c>
      <c r="C172" s="2" t="s">
        <v>39</v>
      </c>
      <c r="D172" s="2" t="s">
        <v>40</v>
      </c>
      <c r="E172" s="2" t="s">
        <v>28</v>
      </c>
      <c r="F172" s="2" t="s">
        <v>29</v>
      </c>
      <c r="G172" s="2" t="s">
        <v>36</v>
      </c>
      <c r="H172" s="2" t="s">
        <v>37</v>
      </c>
      <c r="I172" s="4">
        <v>225.4</v>
      </c>
      <c r="J172" s="5">
        <v>1.2663E7</v>
      </c>
      <c r="K172" s="5">
        <v>8871016.0</v>
      </c>
      <c r="L172" s="2">
        <v>1.0</v>
      </c>
      <c r="M172" s="6">
        <v>4.439</v>
      </c>
      <c r="N172" s="6">
        <v>-75.232</v>
      </c>
      <c r="O172" s="5">
        <f t="shared" si="1"/>
        <v>2854240200</v>
      </c>
      <c r="P172" s="5">
        <f t="shared" si="2"/>
        <v>1999527006</v>
      </c>
      <c r="Q172" s="5">
        <f t="shared" si="3"/>
        <v>854713193.6</v>
      </c>
      <c r="R172" s="7">
        <f t="shared" si="4"/>
        <v>0.2994538419</v>
      </c>
      <c r="S172" s="2" t="str">
        <f t="shared" si="5"/>
        <v>2025-03</v>
      </c>
      <c r="T172" s="2" t="str">
        <f t="shared" si="6"/>
        <v>T1-2025</v>
      </c>
    </row>
    <row r="173" ht="15.75" customHeight="1">
      <c r="A173" s="2" t="s">
        <v>230</v>
      </c>
      <c r="B173" s="3">
        <v>45724.0</v>
      </c>
      <c r="C173" s="2" t="s">
        <v>21</v>
      </c>
      <c r="D173" s="2" t="s">
        <v>22</v>
      </c>
      <c r="E173" s="2" t="s">
        <v>53</v>
      </c>
      <c r="F173" s="2" t="s">
        <v>29</v>
      </c>
      <c r="G173" s="2" t="s">
        <v>36</v>
      </c>
      <c r="H173" s="2" t="s">
        <v>54</v>
      </c>
      <c r="I173" s="4">
        <v>345.2</v>
      </c>
      <c r="J173" s="5">
        <v>1.0378E7</v>
      </c>
      <c r="K173" s="5">
        <v>6252602.0</v>
      </c>
      <c r="L173" s="2">
        <v>4.0</v>
      </c>
      <c r="M173" s="6">
        <v>6.189</v>
      </c>
      <c r="N173" s="6">
        <v>-67.486</v>
      </c>
      <c r="O173" s="5">
        <f t="shared" si="1"/>
        <v>3582485600</v>
      </c>
      <c r="P173" s="5">
        <f t="shared" si="2"/>
        <v>2158398210</v>
      </c>
      <c r="Q173" s="5">
        <f t="shared" si="3"/>
        <v>1424087390</v>
      </c>
      <c r="R173" s="7">
        <f t="shared" si="4"/>
        <v>0.3975137791</v>
      </c>
      <c r="S173" s="2" t="str">
        <f t="shared" si="5"/>
        <v>2025-03</v>
      </c>
      <c r="T173" s="2" t="str">
        <f t="shared" si="6"/>
        <v>T1-2025</v>
      </c>
    </row>
    <row r="174" ht="15.75" customHeight="1">
      <c r="A174" s="2" t="s">
        <v>231</v>
      </c>
      <c r="B174" s="3">
        <v>45727.0</v>
      </c>
      <c r="C174" s="2" t="s">
        <v>48</v>
      </c>
      <c r="D174" s="2" t="s">
        <v>49</v>
      </c>
      <c r="E174" s="2" t="s">
        <v>77</v>
      </c>
      <c r="F174" s="2" t="s">
        <v>35</v>
      </c>
      <c r="G174" s="2" t="s">
        <v>43</v>
      </c>
      <c r="H174" s="2" t="s">
        <v>78</v>
      </c>
      <c r="I174" s="4">
        <v>21.6</v>
      </c>
      <c r="J174" s="5">
        <v>3055000.0</v>
      </c>
      <c r="K174" s="5">
        <v>2388532.0</v>
      </c>
      <c r="L174" s="2">
        <v>1.0</v>
      </c>
      <c r="M174" s="6">
        <v>5.339</v>
      </c>
      <c r="N174" s="6">
        <v>-72.395</v>
      </c>
      <c r="O174" s="5">
        <f t="shared" si="1"/>
        <v>65988000</v>
      </c>
      <c r="P174" s="5">
        <f t="shared" si="2"/>
        <v>51592291.2</v>
      </c>
      <c r="Q174" s="5">
        <f t="shared" si="3"/>
        <v>14395708.8</v>
      </c>
      <c r="R174" s="7">
        <f t="shared" si="4"/>
        <v>0.2181564648</v>
      </c>
      <c r="S174" s="2" t="str">
        <f t="shared" si="5"/>
        <v>2025-03</v>
      </c>
      <c r="T174" s="2" t="str">
        <f t="shared" si="6"/>
        <v>T1-2025</v>
      </c>
    </row>
    <row r="175" ht="15.75" customHeight="1">
      <c r="A175" s="2" t="s">
        <v>232</v>
      </c>
      <c r="B175" s="3">
        <v>45728.0</v>
      </c>
      <c r="C175" s="2" t="s">
        <v>60</v>
      </c>
      <c r="D175" s="2" t="s">
        <v>60</v>
      </c>
      <c r="E175" s="2" t="s">
        <v>41</v>
      </c>
      <c r="F175" s="2" t="s">
        <v>42</v>
      </c>
      <c r="G175" s="2" t="s">
        <v>25</v>
      </c>
      <c r="H175" s="2" t="s">
        <v>26</v>
      </c>
      <c r="I175" s="4">
        <v>173.5</v>
      </c>
      <c r="J175" s="5">
        <v>1664000.0</v>
      </c>
      <c r="K175" s="5">
        <v>1187806.0</v>
      </c>
      <c r="L175" s="2">
        <v>1.0</v>
      </c>
      <c r="M175" s="6">
        <v>7.084</v>
      </c>
      <c r="N175" s="6">
        <v>-70.759</v>
      </c>
      <c r="O175" s="5">
        <f t="shared" si="1"/>
        <v>288704000</v>
      </c>
      <c r="P175" s="5">
        <f t="shared" si="2"/>
        <v>206084341</v>
      </c>
      <c r="Q175" s="5">
        <f t="shared" si="3"/>
        <v>82619659</v>
      </c>
      <c r="R175" s="7">
        <f t="shared" si="4"/>
        <v>0.2861742788</v>
      </c>
      <c r="S175" s="2" t="str">
        <f t="shared" si="5"/>
        <v>2025-03</v>
      </c>
      <c r="T175" s="2" t="str">
        <f t="shared" si="6"/>
        <v>T1-2025</v>
      </c>
    </row>
    <row r="176" ht="15.75" customHeight="1">
      <c r="A176" s="2" t="s">
        <v>233</v>
      </c>
      <c r="B176" s="3">
        <v>45731.0</v>
      </c>
      <c r="C176" s="2" t="s">
        <v>60</v>
      </c>
      <c r="D176" s="2" t="s">
        <v>60</v>
      </c>
      <c r="E176" s="2" t="s">
        <v>23</v>
      </c>
      <c r="F176" s="2" t="s">
        <v>24</v>
      </c>
      <c r="G176" s="2" t="s">
        <v>25</v>
      </c>
      <c r="H176" s="2" t="s">
        <v>30</v>
      </c>
      <c r="I176" s="4">
        <v>25.5</v>
      </c>
      <c r="J176" s="5">
        <v>1521000.0</v>
      </c>
      <c r="K176" s="5">
        <v>1205490.0</v>
      </c>
      <c r="L176" s="2">
        <v>2.0</v>
      </c>
      <c r="M176" s="6">
        <v>7.084</v>
      </c>
      <c r="N176" s="6">
        <v>-70.759</v>
      </c>
      <c r="O176" s="5">
        <f t="shared" si="1"/>
        <v>38785500</v>
      </c>
      <c r="P176" s="5">
        <f t="shared" si="2"/>
        <v>30739995</v>
      </c>
      <c r="Q176" s="5">
        <f t="shared" si="3"/>
        <v>8045505</v>
      </c>
      <c r="R176" s="7">
        <f t="shared" si="4"/>
        <v>0.2074358974</v>
      </c>
      <c r="S176" s="2" t="str">
        <f t="shared" si="5"/>
        <v>2025-03</v>
      </c>
      <c r="T176" s="2" t="str">
        <f t="shared" si="6"/>
        <v>T1-2025</v>
      </c>
    </row>
    <row r="177" ht="15.75" customHeight="1">
      <c r="A177" s="2" t="s">
        <v>234</v>
      </c>
      <c r="B177" s="3">
        <v>45736.0</v>
      </c>
      <c r="C177" s="2" t="s">
        <v>39</v>
      </c>
      <c r="D177" s="2" t="s">
        <v>40</v>
      </c>
      <c r="E177" s="2" t="s">
        <v>53</v>
      </c>
      <c r="F177" s="2" t="s">
        <v>29</v>
      </c>
      <c r="G177" s="2" t="s">
        <v>46</v>
      </c>
      <c r="H177" s="2" t="s">
        <v>78</v>
      </c>
      <c r="I177" s="4">
        <v>224.1</v>
      </c>
      <c r="J177" s="5">
        <v>1.1094E7</v>
      </c>
      <c r="K177" s="5">
        <v>6716774.0</v>
      </c>
      <c r="L177" s="2">
        <v>5.0</v>
      </c>
      <c r="M177" s="6">
        <v>4.439</v>
      </c>
      <c r="N177" s="6">
        <v>-75.232</v>
      </c>
      <c r="O177" s="5">
        <f t="shared" si="1"/>
        <v>2486165400</v>
      </c>
      <c r="P177" s="5">
        <f t="shared" si="2"/>
        <v>1505229053</v>
      </c>
      <c r="Q177" s="5">
        <f t="shared" si="3"/>
        <v>980936346.6</v>
      </c>
      <c r="R177" s="7">
        <f t="shared" si="4"/>
        <v>0.3945579593</v>
      </c>
      <c r="S177" s="2" t="str">
        <f t="shared" si="5"/>
        <v>2025-03</v>
      </c>
      <c r="T177" s="2" t="str">
        <f t="shared" si="6"/>
        <v>T1-2025</v>
      </c>
    </row>
    <row r="178" ht="15.75" customHeight="1">
      <c r="A178" s="2" t="s">
        <v>235</v>
      </c>
      <c r="B178" s="3">
        <v>45736.0</v>
      </c>
      <c r="C178" s="2" t="s">
        <v>32</v>
      </c>
      <c r="D178" s="2" t="s">
        <v>33</v>
      </c>
      <c r="E178" s="2" t="s">
        <v>41</v>
      </c>
      <c r="F178" s="2" t="s">
        <v>42</v>
      </c>
      <c r="G178" s="2" t="s">
        <v>63</v>
      </c>
      <c r="H178" s="2" t="s">
        <v>78</v>
      </c>
      <c r="I178" s="4">
        <v>38.6</v>
      </c>
      <c r="J178" s="5">
        <v>1653000.0</v>
      </c>
      <c r="K178" s="5">
        <v>1287279.0</v>
      </c>
      <c r="L178" s="2">
        <v>1.0</v>
      </c>
      <c r="M178" s="6">
        <v>6.244</v>
      </c>
      <c r="N178" s="6">
        <v>-75.581</v>
      </c>
      <c r="O178" s="5">
        <f t="shared" si="1"/>
        <v>63805800</v>
      </c>
      <c r="P178" s="5">
        <f t="shared" si="2"/>
        <v>49688969.4</v>
      </c>
      <c r="Q178" s="5">
        <f t="shared" si="3"/>
        <v>14116830.6</v>
      </c>
      <c r="R178" s="7">
        <f t="shared" si="4"/>
        <v>0.221246824</v>
      </c>
      <c r="S178" s="2" t="str">
        <f t="shared" si="5"/>
        <v>2025-03</v>
      </c>
      <c r="T178" s="2" t="str">
        <f t="shared" si="6"/>
        <v>T1-2025</v>
      </c>
    </row>
    <row r="179" ht="15.75" customHeight="1">
      <c r="A179" s="2" t="s">
        <v>236</v>
      </c>
      <c r="B179" s="3">
        <v>45740.0</v>
      </c>
      <c r="C179" s="2" t="s">
        <v>51</v>
      </c>
      <c r="D179" s="2" t="s">
        <v>52</v>
      </c>
      <c r="E179" s="2" t="s">
        <v>41</v>
      </c>
      <c r="F179" s="2" t="s">
        <v>42</v>
      </c>
      <c r="G179" s="2" t="s">
        <v>63</v>
      </c>
      <c r="H179" s="2" t="s">
        <v>78</v>
      </c>
      <c r="I179" s="4">
        <v>143.2</v>
      </c>
      <c r="J179" s="5">
        <v>1809000.0</v>
      </c>
      <c r="K179" s="5">
        <v>1148861.0</v>
      </c>
      <c r="L179" s="2">
        <v>1.0</v>
      </c>
      <c r="M179" s="6">
        <v>4.711</v>
      </c>
      <c r="N179" s="6">
        <v>-74.072</v>
      </c>
      <c r="O179" s="5">
        <f t="shared" si="1"/>
        <v>259048800</v>
      </c>
      <c r="P179" s="5">
        <f t="shared" si="2"/>
        <v>164516895.2</v>
      </c>
      <c r="Q179" s="5">
        <f t="shared" si="3"/>
        <v>94531904.8</v>
      </c>
      <c r="R179" s="7">
        <f t="shared" si="4"/>
        <v>0.3649192924</v>
      </c>
      <c r="S179" s="2" t="str">
        <f t="shared" si="5"/>
        <v>2025-03</v>
      </c>
      <c r="T179" s="2" t="str">
        <f t="shared" si="6"/>
        <v>T1-2025</v>
      </c>
    </row>
    <row r="180" ht="15.75" customHeight="1">
      <c r="A180" s="2" t="s">
        <v>237</v>
      </c>
      <c r="B180" s="3">
        <v>45740.0</v>
      </c>
      <c r="C180" s="2" t="s">
        <v>51</v>
      </c>
      <c r="D180" s="2" t="s">
        <v>52</v>
      </c>
      <c r="E180" s="2" t="s">
        <v>88</v>
      </c>
      <c r="F180" s="2" t="s">
        <v>62</v>
      </c>
      <c r="G180" s="2" t="s">
        <v>43</v>
      </c>
      <c r="H180" s="2" t="s">
        <v>37</v>
      </c>
      <c r="I180" s="4">
        <v>34.9</v>
      </c>
      <c r="J180" s="5">
        <v>1490000.0</v>
      </c>
      <c r="K180" s="5">
        <v>1165100.0</v>
      </c>
      <c r="L180" s="2">
        <v>4.0</v>
      </c>
      <c r="M180" s="6">
        <v>4.711</v>
      </c>
      <c r="N180" s="6">
        <v>-74.072</v>
      </c>
      <c r="O180" s="5">
        <f t="shared" si="1"/>
        <v>52001000</v>
      </c>
      <c r="P180" s="5">
        <f t="shared" si="2"/>
        <v>40661990</v>
      </c>
      <c r="Q180" s="5">
        <f t="shared" si="3"/>
        <v>11339010</v>
      </c>
      <c r="R180" s="7">
        <f t="shared" si="4"/>
        <v>0.2180536913</v>
      </c>
      <c r="S180" s="2" t="str">
        <f t="shared" si="5"/>
        <v>2025-03</v>
      </c>
      <c r="T180" s="2" t="str">
        <f t="shared" si="6"/>
        <v>T1-2025</v>
      </c>
    </row>
    <row r="181" ht="15.75" customHeight="1">
      <c r="A181" s="2" t="s">
        <v>238</v>
      </c>
      <c r="B181" s="3">
        <v>45740.0</v>
      </c>
      <c r="C181" s="2" t="s">
        <v>48</v>
      </c>
      <c r="D181" s="2" t="s">
        <v>49</v>
      </c>
      <c r="E181" s="2" t="s">
        <v>65</v>
      </c>
      <c r="F181" s="2" t="s">
        <v>42</v>
      </c>
      <c r="G181" s="2" t="s">
        <v>63</v>
      </c>
      <c r="H181" s="2" t="s">
        <v>54</v>
      </c>
      <c r="I181" s="4">
        <v>198.5</v>
      </c>
      <c r="J181" s="5">
        <v>3087000.0</v>
      </c>
      <c r="K181" s="5">
        <v>2036411.0</v>
      </c>
      <c r="L181" s="2">
        <v>5.0</v>
      </c>
      <c r="M181" s="6">
        <v>5.339</v>
      </c>
      <c r="N181" s="6">
        <v>-72.395</v>
      </c>
      <c r="O181" s="5">
        <f t="shared" si="1"/>
        <v>612769500</v>
      </c>
      <c r="P181" s="5">
        <f t="shared" si="2"/>
        <v>404227583.5</v>
      </c>
      <c r="Q181" s="5">
        <f t="shared" si="3"/>
        <v>208541916.5</v>
      </c>
      <c r="R181" s="7">
        <f t="shared" si="4"/>
        <v>0.3403268546</v>
      </c>
      <c r="S181" s="2" t="str">
        <f t="shared" si="5"/>
        <v>2025-03</v>
      </c>
      <c r="T181" s="2" t="str">
        <f t="shared" si="6"/>
        <v>T1-2025</v>
      </c>
    </row>
    <row r="182" ht="15.75" customHeight="1">
      <c r="A182" s="2" t="s">
        <v>239</v>
      </c>
      <c r="B182" s="3">
        <v>45742.0</v>
      </c>
      <c r="C182" s="2" t="s">
        <v>21</v>
      </c>
      <c r="D182" s="2" t="s">
        <v>22</v>
      </c>
      <c r="E182" s="2" t="s">
        <v>28</v>
      </c>
      <c r="F182" s="2" t="s">
        <v>29</v>
      </c>
      <c r="G182" s="2" t="s">
        <v>36</v>
      </c>
      <c r="H182" s="2" t="s">
        <v>78</v>
      </c>
      <c r="I182" s="4">
        <v>270.7</v>
      </c>
      <c r="J182" s="5">
        <v>1.2504E7</v>
      </c>
      <c r="K182" s="5">
        <v>9794987.0</v>
      </c>
      <c r="L182" s="2">
        <v>5.0</v>
      </c>
      <c r="M182" s="6">
        <v>6.189</v>
      </c>
      <c r="N182" s="6">
        <v>-67.486</v>
      </c>
      <c r="O182" s="5">
        <f t="shared" si="1"/>
        <v>3384832800</v>
      </c>
      <c r="P182" s="5">
        <f t="shared" si="2"/>
        <v>2651502981</v>
      </c>
      <c r="Q182" s="5">
        <f t="shared" si="3"/>
        <v>733329819.1</v>
      </c>
      <c r="R182" s="7">
        <f t="shared" si="4"/>
        <v>0.2166517115</v>
      </c>
      <c r="S182" s="2" t="str">
        <f t="shared" si="5"/>
        <v>2025-03</v>
      </c>
      <c r="T182" s="2" t="str">
        <f t="shared" si="6"/>
        <v>T1-2025</v>
      </c>
    </row>
    <row r="183" ht="15.75" customHeight="1">
      <c r="A183" s="2" t="s">
        <v>240</v>
      </c>
      <c r="B183" s="3">
        <v>45749.0</v>
      </c>
      <c r="C183" s="2" t="s">
        <v>60</v>
      </c>
      <c r="D183" s="2" t="s">
        <v>60</v>
      </c>
      <c r="E183" s="2" t="s">
        <v>67</v>
      </c>
      <c r="F183" s="2" t="s">
        <v>24</v>
      </c>
      <c r="G183" s="2" t="s">
        <v>46</v>
      </c>
      <c r="H183" s="2" t="s">
        <v>30</v>
      </c>
      <c r="I183" s="4">
        <v>178.0</v>
      </c>
      <c r="J183" s="5">
        <v>1.4225E7</v>
      </c>
      <c r="K183" s="5">
        <v>9430979.0</v>
      </c>
      <c r="L183" s="2">
        <v>3.0</v>
      </c>
      <c r="M183" s="6">
        <v>7.084</v>
      </c>
      <c r="N183" s="6">
        <v>-70.759</v>
      </c>
      <c r="O183" s="5">
        <f t="shared" si="1"/>
        <v>2532050000</v>
      </c>
      <c r="P183" s="5">
        <f t="shared" si="2"/>
        <v>1678714262</v>
      </c>
      <c r="Q183" s="5">
        <f t="shared" si="3"/>
        <v>853335738</v>
      </c>
      <c r="R183" s="7">
        <f t="shared" si="4"/>
        <v>0.3370137786</v>
      </c>
      <c r="S183" s="2" t="str">
        <f t="shared" si="5"/>
        <v>2025-04</v>
      </c>
      <c r="T183" s="2" t="str">
        <f t="shared" si="6"/>
        <v>T2-2025</v>
      </c>
    </row>
    <row r="184" ht="15.75" customHeight="1">
      <c r="A184" s="2" t="s">
        <v>241</v>
      </c>
      <c r="B184" s="3">
        <v>45751.0</v>
      </c>
      <c r="C184" s="2" t="s">
        <v>60</v>
      </c>
      <c r="D184" s="2" t="s">
        <v>60</v>
      </c>
      <c r="E184" s="2" t="s">
        <v>34</v>
      </c>
      <c r="F184" s="2" t="s">
        <v>35</v>
      </c>
      <c r="G184" s="2" t="s">
        <v>36</v>
      </c>
      <c r="H184" s="2" t="s">
        <v>30</v>
      </c>
      <c r="I184" s="4">
        <v>139.7</v>
      </c>
      <c r="J184" s="5">
        <v>3047000.0</v>
      </c>
      <c r="K184" s="5">
        <v>2386162.0</v>
      </c>
      <c r="L184" s="2">
        <v>4.0</v>
      </c>
      <c r="M184" s="6">
        <v>7.084</v>
      </c>
      <c r="N184" s="6">
        <v>-70.759</v>
      </c>
      <c r="O184" s="5">
        <f t="shared" si="1"/>
        <v>425665900</v>
      </c>
      <c r="P184" s="5">
        <f t="shared" si="2"/>
        <v>333346831.4</v>
      </c>
      <c r="Q184" s="5">
        <f t="shared" si="3"/>
        <v>92319068.6</v>
      </c>
      <c r="R184" s="7">
        <f t="shared" si="4"/>
        <v>0.2168815228</v>
      </c>
      <c r="S184" s="2" t="str">
        <f t="shared" si="5"/>
        <v>2025-04</v>
      </c>
      <c r="T184" s="2" t="str">
        <f t="shared" si="6"/>
        <v>T2-2025</v>
      </c>
    </row>
    <row r="185" ht="15.75" customHeight="1">
      <c r="A185" s="2" t="s">
        <v>242</v>
      </c>
      <c r="B185" s="3">
        <v>45751.0</v>
      </c>
      <c r="C185" s="2" t="s">
        <v>56</v>
      </c>
      <c r="D185" s="2" t="s">
        <v>57</v>
      </c>
      <c r="E185" s="2" t="s">
        <v>23</v>
      </c>
      <c r="F185" s="2" t="s">
        <v>24</v>
      </c>
      <c r="G185" s="2" t="s">
        <v>63</v>
      </c>
      <c r="H185" s="2" t="s">
        <v>26</v>
      </c>
      <c r="I185" s="4">
        <v>48.2</v>
      </c>
      <c r="J185" s="5">
        <v>1653000.0</v>
      </c>
      <c r="K185" s="5">
        <v>1158318.0</v>
      </c>
      <c r="L185" s="2">
        <v>5.0</v>
      </c>
      <c r="M185" s="6">
        <v>4.142</v>
      </c>
      <c r="N185" s="6">
        <v>-73.626</v>
      </c>
      <c r="O185" s="5">
        <f t="shared" si="1"/>
        <v>79674600</v>
      </c>
      <c r="P185" s="5">
        <f t="shared" si="2"/>
        <v>55830927.6</v>
      </c>
      <c r="Q185" s="5">
        <f t="shared" si="3"/>
        <v>23843672.4</v>
      </c>
      <c r="R185" s="7">
        <f t="shared" si="4"/>
        <v>0.2992631579</v>
      </c>
      <c r="S185" s="2" t="str">
        <f t="shared" si="5"/>
        <v>2025-04</v>
      </c>
      <c r="T185" s="2" t="str">
        <f t="shared" si="6"/>
        <v>T2-2025</v>
      </c>
    </row>
    <row r="186" ht="15.75" customHeight="1">
      <c r="A186" s="2" t="s">
        <v>243</v>
      </c>
      <c r="B186" s="3">
        <v>45752.0</v>
      </c>
      <c r="C186" s="2" t="s">
        <v>39</v>
      </c>
      <c r="D186" s="2" t="s">
        <v>40</v>
      </c>
      <c r="E186" s="2" t="s">
        <v>23</v>
      </c>
      <c r="F186" s="2" t="s">
        <v>24</v>
      </c>
      <c r="G186" s="2" t="s">
        <v>36</v>
      </c>
      <c r="H186" s="2" t="s">
        <v>30</v>
      </c>
      <c r="I186" s="4">
        <v>104.4</v>
      </c>
      <c r="J186" s="5">
        <v>2013000.0</v>
      </c>
      <c r="K186" s="5">
        <v>1234350.0</v>
      </c>
      <c r="L186" s="2">
        <v>1.0</v>
      </c>
      <c r="M186" s="6">
        <v>4.439</v>
      </c>
      <c r="N186" s="6">
        <v>-75.232</v>
      </c>
      <c r="O186" s="5">
        <f t="shared" si="1"/>
        <v>210157200</v>
      </c>
      <c r="P186" s="5">
        <f t="shared" si="2"/>
        <v>128866140</v>
      </c>
      <c r="Q186" s="5">
        <f t="shared" si="3"/>
        <v>81291060</v>
      </c>
      <c r="R186" s="7">
        <f t="shared" si="4"/>
        <v>0.3868107303</v>
      </c>
      <c r="S186" s="2" t="str">
        <f t="shared" si="5"/>
        <v>2025-04</v>
      </c>
      <c r="T186" s="2" t="str">
        <f t="shared" si="6"/>
        <v>T2-2025</v>
      </c>
    </row>
    <row r="187" ht="15.75" customHeight="1">
      <c r="A187" s="2" t="s">
        <v>244</v>
      </c>
      <c r="B187" s="3">
        <v>45753.0</v>
      </c>
      <c r="C187" s="2" t="s">
        <v>32</v>
      </c>
      <c r="D187" s="2" t="s">
        <v>33</v>
      </c>
      <c r="E187" s="2" t="s">
        <v>41</v>
      </c>
      <c r="F187" s="2" t="s">
        <v>42</v>
      </c>
      <c r="G187" s="2" t="s">
        <v>46</v>
      </c>
      <c r="H187" s="2" t="s">
        <v>58</v>
      </c>
      <c r="I187" s="4">
        <v>23.5</v>
      </c>
      <c r="J187" s="5">
        <v>1830000.0</v>
      </c>
      <c r="K187" s="5">
        <v>1130872.0</v>
      </c>
      <c r="L187" s="2">
        <v>2.0</v>
      </c>
      <c r="M187" s="6">
        <v>6.244</v>
      </c>
      <c r="N187" s="6">
        <v>-75.581</v>
      </c>
      <c r="O187" s="5">
        <f t="shared" si="1"/>
        <v>43005000</v>
      </c>
      <c r="P187" s="5">
        <f t="shared" si="2"/>
        <v>26575492</v>
      </c>
      <c r="Q187" s="5">
        <f t="shared" si="3"/>
        <v>16429508</v>
      </c>
      <c r="R187" s="7">
        <f t="shared" si="4"/>
        <v>0.3820371585</v>
      </c>
      <c r="S187" s="2" t="str">
        <f t="shared" si="5"/>
        <v>2025-04</v>
      </c>
      <c r="T187" s="2" t="str">
        <f t="shared" si="6"/>
        <v>T2-2025</v>
      </c>
    </row>
    <row r="188" ht="15.75" customHeight="1">
      <c r="A188" s="2" t="s">
        <v>245</v>
      </c>
      <c r="B188" s="3">
        <v>45759.0</v>
      </c>
      <c r="C188" s="2" t="s">
        <v>32</v>
      </c>
      <c r="D188" s="2" t="s">
        <v>33</v>
      </c>
      <c r="E188" s="2" t="s">
        <v>34</v>
      </c>
      <c r="F188" s="2" t="s">
        <v>35</v>
      </c>
      <c r="G188" s="2" t="s">
        <v>25</v>
      </c>
      <c r="H188" s="2" t="s">
        <v>58</v>
      </c>
      <c r="I188" s="4">
        <v>158.6</v>
      </c>
      <c r="J188" s="5">
        <v>2886000.0</v>
      </c>
      <c r="K188" s="5">
        <v>2051945.0</v>
      </c>
      <c r="L188" s="2">
        <v>4.0</v>
      </c>
      <c r="M188" s="6">
        <v>6.244</v>
      </c>
      <c r="N188" s="6">
        <v>-75.581</v>
      </c>
      <c r="O188" s="5">
        <f t="shared" si="1"/>
        <v>457719600</v>
      </c>
      <c r="P188" s="5">
        <f t="shared" si="2"/>
        <v>325438477</v>
      </c>
      <c r="Q188" s="5">
        <f t="shared" si="3"/>
        <v>132281123</v>
      </c>
      <c r="R188" s="7">
        <f t="shared" si="4"/>
        <v>0.2890003465</v>
      </c>
      <c r="S188" s="2" t="str">
        <f t="shared" si="5"/>
        <v>2025-04</v>
      </c>
      <c r="T188" s="2" t="str">
        <f t="shared" si="6"/>
        <v>T2-2025</v>
      </c>
    </row>
    <row r="189" ht="15.75" customHeight="1">
      <c r="A189" s="2" t="s">
        <v>246</v>
      </c>
      <c r="B189" s="3">
        <v>45760.0</v>
      </c>
      <c r="C189" s="2" t="s">
        <v>56</v>
      </c>
      <c r="D189" s="2" t="s">
        <v>57</v>
      </c>
      <c r="E189" s="2" t="s">
        <v>41</v>
      </c>
      <c r="F189" s="2" t="s">
        <v>42</v>
      </c>
      <c r="G189" s="2" t="s">
        <v>25</v>
      </c>
      <c r="H189" s="2" t="s">
        <v>37</v>
      </c>
      <c r="I189" s="4">
        <v>106.6</v>
      </c>
      <c r="J189" s="5">
        <v>1823000.0</v>
      </c>
      <c r="K189" s="5">
        <v>1264037.0</v>
      </c>
      <c r="L189" s="2">
        <v>2.0</v>
      </c>
      <c r="M189" s="6">
        <v>4.142</v>
      </c>
      <c r="N189" s="6">
        <v>-73.626</v>
      </c>
      <c r="O189" s="5">
        <f t="shared" si="1"/>
        <v>194331800</v>
      </c>
      <c r="P189" s="5">
        <f t="shared" si="2"/>
        <v>134746344.2</v>
      </c>
      <c r="Q189" s="5">
        <f t="shared" si="3"/>
        <v>59585455.8</v>
      </c>
      <c r="R189" s="7">
        <f t="shared" si="4"/>
        <v>0.3066171146</v>
      </c>
      <c r="S189" s="2" t="str">
        <f t="shared" si="5"/>
        <v>2025-04</v>
      </c>
      <c r="T189" s="2" t="str">
        <f t="shared" si="6"/>
        <v>T2-2025</v>
      </c>
    </row>
    <row r="190" ht="15.75" customHeight="1">
      <c r="A190" s="2" t="s">
        <v>247</v>
      </c>
      <c r="B190" s="3">
        <v>45760.0</v>
      </c>
      <c r="C190" s="2" t="s">
        <v>21</v>
      </c>
      <c r="D190" s="2" t="s">
        <v>22</v>
      </c>
      <c r="E190" s="2" t="s">
        <v>65</v>
      </c>
      <c r="F190" s="2" t="s">
        <v>42</v>
      </c>
      <c r="G190" s="2" t="s">
        <v>36</v>
      </c>
      <c r="H190" s="2" t="s">
        <v>26</v>
      </c>
      <c r="I190" s="4">
        <v>201.6</v>
      </c>
      <c r="J190" s="5">
        <v>3353000.0</v>
      </c>
      <c r="K190" s="5">
        <v>1975652.0</v>
      </c>
      <c r="L190" s="2">
        <v>3.0</v>
      </c>
      <c r="M190" s="6">
        <v>6.189</v>
      </c>
      <c r="N190" s="6">
        <v>-67.486</v>
      </c>
      <c r="O190" s="5">
        <f t="shared" si="1"/>
        <v>675964800</v>
      </c>
      <c r="P190" s="5">
        <f t="shared" si="2"/>
        <v>398291443.2</v>
      </c>
      <c r="Q190" s="5">
        <f t="shared" si="3"/>
        <v>277673356.8</v>
      </c>
      <c r="R190" s="7">
        <f t="shared" si="4"/>
        <v>0.4107807933</v>
      </c>
      <c r="S190" s="2" t="str">
        <f t="shared" si="5"/>
        <v>2025-04</v>
      </c>
      <c r="T190" s="2" t="str">
        <f t="shared" si="6"/>
        <v>T2-2025</v>
      </c>
    </row>
    <row r="191" ht="15.75" customHeight="1">
      <c r="A191" s="2" t="s">
        <v>248</v>
      </c>
      <c r="B191" s="3">
        <v>45763.0</v>
      </c>
      <c r="C191" s="2" t="s">
        <v>56</v>
      </c>
      <c r="D191" s="2" t="s">
        <v>57</v>
      </c>
      <c r="E191" s="2" t="s">
        <v>53</v>
      </c>
      <c r="F191" s="2" t="s">
        <v>29</v>
      </c>
      <c r="G191" s="2" t="s">
        <v>25</v>
      </c>
      <c r="H191" s="2" t="s">
        <v>26</v>
      </c>
      <c r="I191" s="4">
        <v>98.9</v>
      </c>
      <c r="J191" s="5">
        <v>1.1412E7</v>
      </c>
      <c r="K191" s="5">
        <v>7624345.0</v>
      </c>
      <c r="L191" s="2">
        <v>1.0</v>
      </c>
      <c r="M191" s="6">
        <v>4.142</v>
      </c>
      <c r="N191" s="6">
        <v>-73.626</v>
      </c>
      <c r="O191" s="5">
        <f t="shared" si="1"/>
        <v>1128646800</v>
      </c>
      <c r="P191" s="5">
        <f t="shared" si="2"/>
        <v>754047720.5</v>
      </c>
      <c r="Q191" s="5">
        <f t="shared" si="3"/>
        <v>374599079.5</v>
      </c>
      <c r="R191" s="7">
        <f t="shared" si="4"/>
        <v>0.3319010691</v>
      </c>
      <c r="S191" s="2" t="str">
        <f t="shared" si="5"/>
        <v>2025-04</v>
      </c>
      <c r="T191" s="2" t="str">
        <f t="shared" si="6"/>
        <v>T2-2025</v>
      </c>
    </row>
    <row r="192" ht="15.75" customHeight="1">
      <c r="A192" s="2" t="s">
        <v>249</v>
      </c>
      <c r="B192" s="3">
        <v>45764.0</v>
      </c>
      <c r="C192" s="2" t="s">
        <v>39</v>
      </c>
      <c r="D192" s="2" t="s">
        <v>40</v>
      </c>
      <c r="E192" s="2" t="s">
        <v>41</v>
      </c>
      <c r="F192" s="2" t="s">
        <v>42</v>
      </c>
      <c r="G192" s="2" t="s">
        <v>36</v>
      </c>
      <c r="H192" s="2" t="s">
        <v>78</v>
      </c>
      <c r="I192" s="4">
        <v>179.6</v>
      </c>
      <c r="J192" s="5">
        <v>1649000.0</v>
      </c>
      <c r="K192" s="5">
        <v>1141029.0</v>
      </c>
      <c r="L192" s="2">
        <v>3.0</v>
      </c>
      <c r="M192" s="6">
        <v>4.439</v>
      </c>
      <c r="N192" s="6">
        <v>-75.232</v>
      </c>
      <c r="O192" s="5">
        <f t="shared" si="1"/>
        <v>296160400</v>
      </c>
      <c r="P192" s="5">
        <f t="shared" si="2"/>
        <v>204928808.4</v>
      </c>
      <c r="Q192" s="5">
        <f t="shared" si="3"/>
        <v>91231591.6</v>
      </c>
      <c r="R192" s="7">
        <f t="shared" si="4"/>
        <v>0.3080479078</v>
      </c>
      <c r="S192" s="2" t="str">
        <f t="shared" si="5"/>
        <v>2025-04</v>
      </c>
      <c r="T192" s="2" t="str">
        <f t="shared" si="6"/>
        <v>T2-2025</v>
      </c>
    </row>
    <row r="193" ht="15.75" customHeight="1">
      <c r="A193" s="2" t="s">
        <v>250</v>
      </c>
      <c r="B193" s="3">
        <v>45768.0</v>
      </c>
      <c r="C193" s="2" t="s">
        <v>32</v>
      </c>
      <c r="D193" s="2" t="s">
        <v>33</v>
      </c>
      <c r="E193" s="2" t="s">
        <v>28</v>
      </c>
      <c r="F193" s="2" t="s">
        <v>29</v>
      </c>
      <c r="G193" s="2" t="s">
        <v>43</v>
      </c>
      <c r="H193" s="2" t="s">
        <v>30</v>
      </c>
      <c r="I193" s="4">
        <v>134.6</v>
      </c>
      <c r="J193" s="5">
        <v>1.2005E7</v>
      </c>
      <c r="K193" s="5">
        <v>9156944.0</v>
      </c>
      <c r="L193" s="2">
        <v>1.0</v>
      </c>
      <c r="M193" s="6">
        <v>6.244</v>
      </c>
      <c r="N193" s="6">
        <v>-75.581</v>
      </c>
      <c r="O193" s="5">
        <f t="shared" si="1"/>
        <v>1615873000</v>
      </c>
      <c r="P193" s="5">
        <f t="shared" si="2"/>
        <v>1232524662</v>
      </c>
      <c r="Q193" s="5">
        <f t="shared" si="3"/>
        <v>383348337.6</v>
      </c>
      <c r="R193" s="7">
        <f t="shared" si="4"/>
        <v>0.2372391504</v>
      </c>
      <c r="S193" s="2" t="str">
        <f t="shared" si="5"/>
        <v>2025-04</v>
      </c>
      <c r="T193" s="2" t="str">
        <f t="shared" si="6"/>
        <v>T2-2025</v>
      </c>
    </row>
    <row r="194" ht="15.75" customHeight="1">
      <c r="A194" s="2" t="s">
        <v>251</v>
      </c>
      <c r="B194" s="3">
        <v>45773.0</v>
      </c>
      <c r="C194" s="2" t="s">
        <v>39</v>
      </c>
      <c r="D194" s="2" t="s">
        <v>40</v>
      </c>
      <c r="E194" s="2" t="s">
        <v>65</v>
      </c>
      <c r="F194" s="2" t="s">
        <v>42</v>
      </c>
      <c r="G194" s="2" t="s">
        <v>43</v>
      </c>
      <c r="H194" s="2" t="s">
        <v>26</v>
      </c>
      <c r="I194" s="4">
        <v>252.0</v>
      </c>
      <c r="J194" s="5">
        <v>3079000.0</v>
      </c>
      <c r="K194" s="5">
        <v>1937704.0</v>
      </c>
      <c r="L194" s="2">
        <v>1.0</v>
      </c>
      <c r="M194" s="6">
        <v>4.439</v>
      </c>
      <c r="N194" s="6">
        <v>-75.232</v>
      </c>
      <c r="O194" s="5">
        <f t="shared" si="1"/>
        <v>775908000</v>
      </c>
      <c r="P194" s="5">
        <f t="shared" si="2"/>
        <v>488301408</v>
      </c>
      <c r="Q194" s="5">
        <f t="shared" si="3"/>
        <v>287606592</v>
      </c>
      <c r="R194" s="7">
        <f t="shared" si="4"/>
        <v>0.3706709971</v>
      </c>
      <c r="S194" s="2" t="str">
        <f t="shared" si="5"/>
        <v>2025-04</v>
      </c>
      <c r="T194" s="2" t="str">
        <f t="shared" si="6"/>
        <v>T2-2025</v>
      </c>
    </row>
    <row r="195" ht="15.75" customHeight="1">
      <c r="A195" s="2" t="s">
        <v>252</v>
      </c>
      <c r="B195" s="3">
        <v>45773.0</v>
      </c>
      <c r="C195" s="2" t="s">
        <v>39</v>
      </c>
      <c r="D195" s="2" t="s">
        <v>40</v>
      </c>
      <c r="E195" s="2" t="s">
        <v>67</v>
      </c>
      <c r="F195" s="2" t="s">
        <v>24</v>
      </c>
      <c r="G195" s="2" t="s">
        <v>25</v>
      </c>
      <c r="H195" s="2" t="s">
        <v>30</v>
      </c>
      <c r="I195" s="4">
        <v>67.3</v>
      </c>
      <c r="J195" s="5">
        <v>1.4397E7</v>
      </c>
      <c r="K195" s="5">
        <v>9730856.0</v>
      </c>
      <c r="L195" s="2">
        <v>4.0</v>
      </c>
      <c r="M195" s="6">
        <v>4.439</v>
      </c>
      <c r="N195" s="6">
        <v>-75.232</v>
      </c>
      <c r="O195" s="5">
        <f t="shared" si="1"/>
        <v>968918100</v>
      </c>
      <c r="P195" s="5">
        <f t="shared" si="2"/>
        <v>654886608.8</v>
      </c>
      <c r="Q195" s="5">
        <f t="shared" si="3"/>
        <v>314031491.2</v>
      </c>
      <c r="R195" s="7">
        <f t="shared" si="4"/>
        <v>0.3241052997</v>
      </c>
      <c r="S195" s="2" t="str">
        <f t="shared" si="5"/>
        <v>2025-04</v>
      </c>
      <c r="T195" s="2" t="str">
        <f t="shared" si="6"/>
        <v>T2-2025</v>
      </c>
    </row>
    <row r="196" ht="15.75" customHeight="1">
      <c r="A196" s="2" t="s">
        <v>253</v>
      </c>
      <c r="B196" s="3">
        <v>45773.0</v>
      </c>
      <c r="C196" s="2" t="s">
        <v>39</v>
      </c>
      <c r="D196" s="2" t="s">
        <v>40</v>
      </c>
      <c r="E196" s="2" t="s">
        <v>65</v>
      </c>
      <c r="F196" s="2" t="s">
        <v>42</v>
      </c>
      <c r="G196" s="2" t="s">
        <v>25</v>
      </c>
      <c r="H196" s="2" t="s">
        <v>30</v>
      </c>
      <c r="I196" s="4">
        <v>71.8</v>
      </c>
      <c r="J196" s="5">
        <v>2908000.0</v>
      </c>
      <c r="K196" s="5">
        <v>1915094.0</v>
      </c>
      <c r="L196" s="2">
        <v>1.0</v>
      </c>
      <c r="M196" s="6">
        <v>4.439</v>
      </c>
      <c r="N196" s="6">
        <v>-75.232</v>
      </c>
      <c r="O196" s="5">
        <f t="shared" si="1"/>
        <v>208794400</v>
      </c>
      <c r="P196" s="5">
        <f t="shared" si="2"/>
        <v>137503749.2</v>
      </c>
      <c r="Q196" s="5">
        <f t="shared" si="3"/>
        <v>71290650.8</v>
      </c>
      <c r="R196" s="7">
        <f t="shared" si="4"/>
        <v>0.3414394773</v>
      </c>
      <c r="S196" s="2" t="str">
        <f t="shared" si="5"/>
        <v>2025-04</v>
      </c>
      <c r="T196" s="2" t="str">
        <f t="shared" si="6"/>
        <v>T2-2025</v>
      </c>
    </row>
    <row r="197" ht="15.75" customHeight="1">
      <c r="A197" s="2" t="s">
        <v>254</v>
      </c>
      <c r="B197" s="3">
        <v>45776.0</v>
      </c>
      <c r="C197" s="2" t="s">
        <v>48</v>
      </c>
      <c r="D197" s="2" t="s">
        <v>49</v>
      </c>
      <c r="E197" s="2" t="s">
        <v>28</v>
      </c>
      <c r="F197" s="2" t="s">
        <v>29</v>
      </c>
      <c r="G197" s="2" t="s">
        <v>63</v>
      </c>
      <c r="H197" s="2" t="s">
        <v>26</v>
      </c>
      <c r="I197" s="4">
        <v>258.5</v>
      </c>
      <c r="J197" s="5">
        <v>1.2451E7</v>
      </c>
      <c r="K197" s="5">
        <v>8381855.0</v>
      </c>
      <c r="L197" s="2">
        <v>4.0</v>
      </c>
      <c r="M197" s="6">
        <v>5.339</v>
      </c>
      <c r="N197" s="6">
        <v>-72.395</v>
      </c>
      <c r="O197" s="5">
        <f t="shared" si="1"/>
        <v>3218583500</v>
      </c>
      <c r="P197" s="5">
        <f t="shared" si="2"/>
        <v>2166709518</v>
      </c>
      <c r="Q197" s="5">
        <f t="shared" si="3"/>
        <v>1051873983</v>
      </c>
      <c r="R197" s="7">
        <f t="shared" si="4"/>
        <v>0.3268127058</v>
      </c>
      <c r="S197" s="2" t="str">
        <f t="shared" si="5"/>
        <v>2025-04</v>
      </c>
      <c r="T197" s="2" t="str">
        <f t="shared" si="6"/>
        <v>T2-2025</v>
      </c>
    </row>
    <row r="198" ht="15.75" customHeight="1">
      <c r="A198" s="2" t="s">
        <v>255</v>
      </c>
      <c r="B198" s="3">
        <v>45779.0</v>
      </c>
      <c r="C198" s="2" t="s">
        <v>32</v>
      </c>
      <c r="D198" s="2" t="s">
        <v>33</v>
      </c>
      <c r="E198" s="2" t="s">
        <v>88</v>
      </c>
      <c r="F198" s="2" t="s">
        <v>62</v>
      </c>
      <c r="G198" s="2" t="s">
        <v>46</v>
      </c>
      <c r="H198" s="2" t="s">
        <v>37</v>
      </c>
      <c r="I198" s="4">
        <v>109.9</v>
      </c>
      <c r="J198" s="5">
        <v>1531000.0</v>
      </c>
      <c r="K198" s="5">
        <v>1057683.0</v>
      </c>
      <c r="L198" s="2">
        <v>5.0</v>
      </c>
      <c r="M198" s="6">
        <v>6.244</v>
      </c>
      <c r="N198" s="6">
        <v>-75.581</v>
      </c>
      <c r="O198" s="5">
        <f t="shared" si="1"/>
        <v>168256900</v>
      </c>
      <c r="P198" s="5">
        <f t="shared" si="2"/>
        <v>116239361.7</v>
      </c>
      <c r="Q198" s="5">
        <f t="shared" si="3"/>
        <v>52017538.3</v>
      </c>
      <c r="R198" s="7">
        <f t="shared" si="4"/>
        <v>0.309155454</v>
      </c>
      <c r="S198" s="2" t="str">
        <f t="shared" si="5"/>
        <v>2025-05</v>
      </c>
      <c r="T198" s="2" t="str">
        <f t="shared" si="6"/>
        <v>T2-2025</v>
      </c>
    </row>
    <row r="199" ht="15.75" customHeight="1">
      <c r="A199" s="2" t="s">
        <v>256</v>
      </c>
      <c r="B199" s="3">
        <v>45789.0</v>
      </c>
      <c r="C199" s="2" t="s">
        <v>60</v>
      </c>
      <c r="D199" s="2" t="s">
        <v>60</v>
      </c>
      <c r="E199" s="2" t="s">
        <v>23</v>
      </c>
      <c r="F199" s="2" t="s">
        <v>24</v>
      </c>
      <c r="G199" s="2" t="s">
        <v>25</v>
      </c>
      <c r="H199" s="2" t="s">
        <v>30</v>
      </c>
      <c r="I199" s="4">
        <v>41.7</v>
      </c>
      <c r="J199" s="5">
        <v>2024000.0</v>
      </c>
      <c r="K199" s="5">
        <v>1224601.0</v>
      </c>
      <c r="L199" s="2">
        <v>4.0</v>
      </c>
      <c r="M199" s="6">
        <v>7.084</v>
      </c>
      <c r="N199" s="6">
        <v>-70.759</v>
      </c>
      <c r="O199" s="5">
        <f t="shared" si="1"/>
        <v>84400800</v>
      </c>
      <c r="P199" s="5">
        <f t="shared" si="2"/>
        <v>51065861.7</v>
      </c>
      <c r="Q199" s="5">
        <f t="shared" si="3"/>
        <v>33334938.3</v>
      </c>
      <c r="R199" s="7">
        <f t="shared" si="4"/>
        <v>0.3949599802</v>
      </c>
      <c r="S199" s="2" t="str">
        <f t="shared" si="5"/>
        <v>2025-05</v>
      </c>
      <c r="T199" s="2" t="str">
        <f t="shared" si="6"/>
        <v>T2-2025</v>
      </c>
    </row>
    <row r="200" ht="15.75" customHeight="1">
      <c r="A200" s="2" t="s">
        <v>257</v>
      </c>
      <c r="B200" s="3">
        <v>45789.0</v>
      </c>
      <c r="C200" s="2" t="s">
        <v>48</v>
      </c>
      <c r="D200" s="2" t="s">
        <v>49</v>
      </c>
      <c r="E200" s="2" t="s">
        <v>77</v>
      </c>
      <c r="F200" s="2" t="s">
        <v>35</v>
      </c>
      <c r="G200" s="2" t="s">
        <v>36</v>
      </c>
      <c r="H200" s="2" t="s">
        <v>54</v>
      </c>
      <c r="I200" s="4">
        <v>27.7</v>
      </c>
      <c r="J200" s="5">
        <v>2903000.0</v>
      </c>
      <c r="K200" s="5">
        <v>2007981.0</v>
      </c>
      <c r="L200" s="2">
        <v>5.0</v>
      </c>
      <c r="M200" s="6">
        <v>5.339</v>
      </c>
      <c r="N200" s="6">
        <v>-72.395</v>
      </c>
      <c r="O200" s="5">
        <f t="shared" si="1"/>
        <v>80413100</v>
      </c>
      <c r="P200" s="5">
        <f t="shared" si="2"/>
        <v>55621073.7</v>
      </c>
      <c r="Q200" s="5">
        <f t="shared" si="3"/>
        <v>24792026.3</v>
      </c>
      <c r="R200" s="7">
        <f t="shared" si="4"/>
        <v>0.3083083018</v>
      </c>
      <c r="S200" s="2" t="str">
        <f t="shared" si="5"/>
        <v>2025-05</v>
      </c>
      <c r="T200" s="2" t="str">
        <f t="shared" si="6"/>
        <v>T2-2025</v>
      </c>
    </row>
    <row r="201" ht="15.75" customHeight="1">
      <c r="A201" s="2" t="s">
        <v>258</v>
      </c>
      <c r="B201" s="3">
        <v>45790.0</v>
      </c>
      <c r="C201" s="2" t="s">
        <v>48</v>
      </c>
      <c r="D201" s="2" t="s">
        <v>49</v>
      </c>
      <c r="E201" s="2" t="s">
        <v>34</v>
      </c>
      <c r="F201" s="2" t="s">
        <v>35</v>
      </c>
      <c r="G201" s="2" t="s">
        <v>46</v>
      </c>
      <c r="H201" s="2" t="s">
        <v>54</v>
      </c>
      <c r="I201" s="4">
        <v>279.4</v>
      </c>
      <c r="J201" s="5">
        <v>2896000.0</v>
      </c>
      <c r="K201" s="5">
        <v>2148433.0</v>
      </c>
      <c r="L201" s="2">
        <v>1.0</v>
      </c>
      <c r="M201" s="6">
        <v>5.339</v>
      </c>
      <c r="N201" s="6">
        <v>-72.395</v>
      </c>
      <c r="O201" s="5">
        <f t="shared" si="1"/>
        <v>809142400</v>
      </c>
      <c r="P201" s="5">
        <f t="shared" si="2"/>
        <v>600272180.2</v>
      </c>
      <c r="Q201" s="5">
        <f t="shared" si="3"/>
        <v>208870219.8</v>
      </c>
      <c r="R201" s="7">
        <f t="shared" si="4"/>
        <v>0.2581377762</v>
      </c>
      <c r="S201" s="2" t="str">
        <f t="shared" si="5"/>
        <v>2025-05</v>
      </c>
      <c r="T201" s="2" t="str">
        <f t="shared" si="6"/>
        <v>T2-2025</v>
      </c>
    </row>
    <row r="202" ht="15.75" customHeight="1">
      <c r="A202" s="2" t="s">
        <v>259</v>
      </c>
      <c r="B202" s="3">
        <v>45793.0</v>
      </c>
      <c r="C202" s="2" t="s">
        <v>60</v>
      </c>
      <c r="D202" s="2" t="s">
        <v>60</v>
      </c>
      <c r="E202" s="2" t="s">
        <v>23</v>
      </c>
      <c r="F202" s="2" t="s">
        <v>24</v>
      </c>
      <c r="G202" s="2" t="s">
        <v>46</v>
      </c>
      <c r="H202" s="2" t="s">
        <v>26</v>
      </c>
      <c r="I202" s="4">
        <v>118.1</v>
      </c>
      <c r="J202" s="5">
        <v>1722000.0</v>
      </c>
      <c r="K202" s="5">
        <v>1166731.0</v>
      </c>
      <c r="L202" s="2">
        <v>2.0</v>
      </c>
      <c r="M202" s="6">
        <v>7.084</v>
      </c>
      <c r="N202" s="6">
        <v>-70.759</v>
      </c>
      <c r="O202" s="5">
        <f t="shared" si="1"/>
        <v>203368200</v>
      </c>
      <c r="P202" s="5">
        <f t="shared" si="2"/>
        <v>137790931.1</v>
      </c>
      <c r="Q202" s="5">
        <f t="shared" si="3"/>
        <v>65577268.9</v>
      </c>
      <c r="R202" s="7">
        <f t="shared" si="4"/>
        <v>0.3224558653</v>
      </c>
      <c r="S202" s="2" t="str">
        <f t="shared" si="5"/>
        <v>2025-05</v>
      </c>
      <c r="T202" s="2" t="str">
        <f t="shared" si="6"/>
        <v>T2-2025</v>
      </c>
    </row>
    <row r="203" ht="15.75" customHeight="1">
      <c r="A203" s="2" t="s">
        <v>260</v>
      </c>
      <c r="B203" s="3">
        <v>45797.0</v>
      </c>
      <c r="C203" s="2" t="s">
        <v>21</v>
      </c>
      <c r="D203" s="2" t="s">
        <v>22</v>
      </c>
      <c r="E203" s="2" t="s">
        <v>65</v>
      </c>
      <c r="F203" s="2" t="s">
        <v>42</v>
      </c>
      <c r="G203" s="2" t="s">
        <v>43</v>
      </c>
      <c r="H203" s="2" t="s">
        <v>37</v>
      </c>
      <c r="I203" s="4">
        <v>99.6</v>
      </c>
      <c r="J203" s="5">
        <v>3311000.0</v>
      </c>
      <c r="K203" s="5">
        <v>2636426.0</v>
      </c>
      <c r="L203" s="2">
        <v>2.0</v>
      </c>
      <c r="M203" s="6">
        <v>6.189</v>
      </c>
      <c r="N203" s="6">
        <v>-67.486</v>
      </c>
      <c r="O203" s="5">
        <f t="shared" si="1"/>
        <v>329775600</v>
      </c>
      <c r="P203" s="5">
        <f t="shared" si="2"/>
        <v>262588029.6</v>
      </c>
      <c r="Q203" s="5">
        <f t="shared" si="3"/>
        <v>67187570.4</v>
      </c>
      <c r="R203" s="7">
        <f t="shared" si="4"/>
        <v>0.2037372395</v>
      </c>
      <c r="S203" s="2" t="str">
        <f t="shared" si="5"/>
        <v>2025-05</v>
      </c>
      <c r="T203" s="2" t="str">
        <f t="shared" si="6"/>
        <v>T2-2025</v>
      </c>
    </row>
    <row r="204" ht="15.75" customHeight="1">
      <c r="A204" s="2" t="s">
        <v>261</v>
      </c>
      <c r="B204" s="3">
        <v>45798.0</v>
      </c>
      <c r="C204" s="2" t="s">
        <v>48</v>
      </c>
      <c r="D204" s="2" t="s">
        <v>49</v>
      </c>
      <c r="E204" s="2" t="s">
        <v>28</v>
      </c>
      <c r="F204" s="2" t="s">
        <v>29</v>
      </c>
      <c r="G204" s="2" t="s">
        <v>36</v>
      </c>
      <c r="H204" s="2" t="s">
        <v>58</v>
      </c>
      <c r="I204" s="4">
        <v>269.0</v>
      </c>
      <c r="J204" s="5">
        <v>1.4656E7</v>
      </c>
      <c r="K204" s="5">
        <v>1.092183E7</v>
      </c>
      <c r="L204" s="2">
        <v>1.0</v>
      </c>
      <c r="M204" s="6">
        <v>5.339</v>
      </c>
      <c r="N204" s="6">
        <v>-72.395</v>
      </c>
      <c r="O204" s="5">
        <f t="shared" si="1"/>
        <v>3942464000</v>
      </c>
      <c r="P204" s="5">
        <f t="shared" si="2"/>
        <v>2937972270</v>
      </c>
      <c r="Q204" s="5">
        <f t="shared" si="3"/>
        <v>1004491730</v>
      </c>
      <c r="R204" s="7">
        <f t="shared" si="4"/>
        <v>0.2547878002</v>
      </c>
      <c r="S204" s="2" t="str">
        <f t="shared" si="5"/>
        <v>2025-05</v>
      </c>
      <c r="T204" s="2" t="str">
        <f t="shared" si="6"/>
        <v>T2-2025</v>
      </c>
    </row>
    <row r="205" ht="15.75" customHeight="1">
      <c r="A205" s="2" t="s">
        <v>262</v>
      </c>
      <c r="B205" s="3">
        <v>45805.0</v>
      </c>
      <c r="C205" s="2" t="s">
        <v>32</v>
      </c>
      <c r="D205" s="2" t="s">
        <v>33</v>
      </c>
      <c r="E205" s="2" t="s">
        <v>61</v>
      </c>
      <c r="F205" s="2" t="s">
        <v>62</v>
      </c>
      <c r="G205" s="2" t="s">
        <v>36</v>
      </c>
      <c r="H205" s="2" t="s">
        <v>30</v>
      </c>
      <c r="I205" s="4">
        <v>187.2</v>
      </c>
      <c r="J205" s="5">
        <v>1683000.0</v>
      </c>
      <c r="K205" s="5">
        <v>1154549.0</v>
      </c>
      <c r="L205" s="2">
        <v>3.0</v>
      </c>
      <c r="M205" s="6">
        <v>6.244</v>
      </c>
      <c r="N205" s="6">
        <v>-75.581</v>
      </c>
      <c r="O205" s="5">
        <f t="shared" si="1"/>
        <v>315057600</v>
      </c>
      <c r="P205" s="5">
        <f t="shared" si="2"/>
        <v>216131572.8</v>
      </c>
      <c r="Q205" s="5">
        <f t="shared" si="3"/>
        <v>98926027.2</v>
      </c>
      <c r="R205" s="7">
        <f t="shared" si="4"/>
        <v>0.3139934641</v>
      </c>
      <c r="S205" s="2" t="str">
        <f t="shared" si="5"/>
        <v>2025-05</v>
      </c>
      <c r="T205" s="2" t="str">
        <f t="shared" si="6"/>
        <v>T2-2025</v>
      </c>
    </row>
    <row r="206" ht="15.75" customHeight="1">
      <c r="A206" s="2" t="s">
        <v>263</v>
      </c>
      <c r="B206" s="3">
        <v>45808.0</v>
      </c>
      <c r="C206" s="2" t="s">
        <v>32</v>
      </c>
      <c r="D206" s="2" t="s">
        <v>33</v>
      </c>
      <c r="E206" s="2" t="s">
        <v>28</v>
      </c>
      <c r="F206" s="2" t="s">
        <v>29</v>
      </c>
      <c r="G206" s="2" t="s">
        <v>43</v>
      </c>
      <c r="H206" s="2" t="s">
        <v>78</v>
      </c>
      <c r="I206" s="4">
        <v>346.2</v>
      </c>
      <c r="J206" s="5">
        <v>1.4046E7</v>
      </c>
      <c r="K206" s="5">
        <v>1.0808803E7</v>
      </c>
      <c r="L206" s="2">
        <v>4.0</v>
      </c>
      <c r="M206" s="6">
        <v>6.244</v>
      </c>
      <c r="N206" s="6">
        <v>-75.581</v>
      </c>
      <c r="O206" s="5">
        <f t="shared" si="1"/>
        <v>4862725200</v>
      </c>
      <c r="P206" s="5">
        <f t="shared" si="2"/>
        <v>3742007599</v>
      </c>
      <c r="Q206" s="5">
        <f t="shared" si="3"/>
        <v>1120717601</v>
      </c>
      <c r="R206" s="7">
        <f t="shared" si="4"/>
        <v>0.230471095</v>
      </c>
      <c r="S206" s="2" t="str">
        <f t="shared" si="5"/>
        <v>2025-05</v>
      </c>
      <c r="T206" s="2" t="str">
        <f t="shared" si="6"/>
        <v>T2-2025</v>
      </c>
    </row>
    <row r="207" ht="15.75" customHeight="1">
      <c r="A207" s="2" t="s">
        <v>264</v>
      </c>
      <c r="B207" s="3">
        <v>45811.0</v>
      </c>
      <c r="C207" s="2" t="s">
        <v>48</v>
      </c>
      <c r="D207" s="2" t="s">
        <v>49</v>
      </c>
      <c r="E207" s="2" t="s">
        <v>23</v>
      </c>
      <c r="F207" s="2" t="s">
        <v>24</v>
      </c>
      <c r="G207" s="2" t="s">
        <v>36</v>
      </c>
      <c r="H207" s="2" t="s">
        <v>30</v>
      </c>
      <c r="I207" s="4">
        <v>129.8</v>
      </c>
      <c r="J207" s="5">
        <v>2052000.0</v>
      </c>
      <c r="K207" s="5">
        <v>1620608.0</v>
      </c>
      <c r="L207" s="2">
        <v>5.0</v>
      </c>
      <c r="M207" s="6">
        <v>5.339</v>
      </c>
      <c r="N207" s="6">
        <v>-72.395</v>
      </c>
      <c r="O207" s="5">
        <f t="shared" si="1"/>
        <v>266349600</v>
      </c>
      <c r="P207" s="5">
        <f t="shared" si="2"/>
        <v>210354918.4</v>
      </c>
      <c r="Q207" s="5">
        <f t="shared" si="3"/>
        <v>55994681.6</v>
      </c>
      <c r="R207" s="7">
        <f t="shared" si="4"/>
        <v>0.2102300195</v>
      </c>
      <c r="S207" s="2" t="str">
        <f t="shared" si="5"/>
        <v>2025-06</v>
      </c>
      <c r="T207" s="2" t="str">
        <f t="shared" si="6"/>
        <v>T2-2025</v>
      </c>
    </row>
    <row r="208" ht="15.75" customHeight="1">
      <c r="A208" s="2" t="s">
        <v>265</v>
      </c>
      <c r="B208" s="3">
        <v>45811.0</v>
      </c>
      <c r="C208" s="2" t="s">
        <v>39</v>
      </c>
      <c r="D208" s="2" t="s">
        <v>40</v>
      </c>
      <c r="E208" s="2" t="s">
        <v>61</v>
      </c>
      <c r="F208" s="2" t="s">
        <v>62</v>
      </c>
      <c r="G208" s="2" t="s">
        <v>25</v>
      </c>
      <c r="H208" s="2" t="s">
        <v>30</v>
      </c>
      <c r="I208" s="4">
        <v>87.2</v>
      </c>
      <c r="J208" s="5">
        <v>1351000.0</v>
      </c>
      <c r="K208" s="5">
        <v>948362.0</v>
      </c>
      <c r="L208" s="2">
        <v>2.0</v>
      </c>
      <c r="M208" s="6">
        <v>4.439</v>
      </c>
      <c r="N208" s="6">
        <v>-75.232</v>
      </c>
      <c r="O208" s="5">
        <f t="shared" si="1"/>
        <v>117807200</v>
      </c>
      <c r="P208" s="5">
        <f t="shared" si="2"/>
        <v>82697166.4</v>
      </c>
      <c r="Q208" s="5">
        <f t="shared" si="3"/>
        <v>35110033.6</v>
      </c>
      <c r="R208" s="7">
        <f t="shared" si="4"/>
        <v>0.2980296077</v>
      </c>
      <c r="S208" s="2" t="str">
        <f t="shared" si="5"/>
        <v>2025-06</v>
      </c>
      <c r="T208" s="2" t="str">
        <f t="shared" si="6"/>
        <v>T2-2025</v>
      </c>
    </row>
    <row r="209" ht="15.75" customHeight="1">
      <c r="A209" s="2" t="s">
        <v>266</v>
      </c>
      <c r="B209" s="3">
        <v>45812.0</v>
      </c>
      <c r="C209" s="2" t="s">
        <v>32</v>
      </c>
      <c r="D209" s="2" t="s">
        <v>33</v>
      </c>
      <c r="E209" s="2" t="s">
        <v>41</v>
      </c>
      <c r="F209" s="2" t="s">
        <v>42</v>
      </c>
      <c r="G209" s="2" t="s">
        <v>36</v>
      </c>
      <c r="H209" s="2" t="s">
        <v>26</v>
      </c>
      <c r="I209" s="4">
        <v>117.5</v>
      </c>
      <c r="J209" s="5">
        <v>1845000.0</v>
      </c>
      <c r="K209" s="5">
        <v>1419912.0</v>
      </c>
      <c r="L209" s="2">
        <v>4.0</v>
      </c>
      <c r="M209" s="6">
        <v>6.244</v>
      </c>
      <c r="N209" s="6">
        <v>-75.581</v>
      </c>
      <c r="O209" s="5">
        <f t="shared" si="1"/>
        <v>216787500</v>
      </c>
      <c r="P209" s="5">
        <f t="shared" si="2"/>
        <v>166839660</v>
      </c>
      <c r="Q209" s="5">
        <f t="shared" si="3"/>
        <v>49947840</v>
      </c>
      <c r="R209" s="7">
        <f t="shared" si="4"/>
        <v>0.2304</v>
      </c>
      <c r="S209" s="2" t="str">
        <f t="shared" si="5"/>
        <v>2025-06</v>
      </c>
      <c r="T209" s="2" t="str">
        <f t="shared" si="6"/>
        <v>T2-2025</v>
      </c>
    </row>
    <row r="210" ht="15.75" customHeight="1">
      <c r="A210" s="2" t="s">
        <v>267</v>
      </c>
      <c r="B210" s="3">
        <v>45812.0</v>
      </c>
      <c r="C210" s="2" t="s">
        <v>32</v>
      </c>
      <c r="D210" s="2" t="s">
        <v>33</v>
      </c>
      <c r="E210" s="2" t="s">
        <v>34</v>
      </c>
      <c r="F210" s="2" t="s">
        <v>35</v>
      </c>
      <c r="G210" s="2" t="s">
        <v>63</v>
      </c>
      <c r="H210" s="2" t="s">
        <v>30</v>
      </c>
      <c r="I210" s="4">
        <v>225.3</v>
      </c>
      <c r="J210" s="5">
        <v>3037000.0</v>
      </c>
      <c r="K210" s="5">
        <v>2038700.0</v>
      </c>
      <c r="L210" s="2">
        <v>5.0</v>
      </c>
      <c r="M210" s="6">
        <v>6.244</v>
      </c>
      <c r="N210" s="6">
        <v>-75.581</v>
      </c>
      <c r="O210" s="5">
        <f t="shared" si="1"/>
        <v>684236100</v>
      </c>
      <c r="P210" s="5">
        <f t="shared" si="2"/>
        <v>459319110</v>
      </c>
      <c r="Q210" s="5">
        <f t="shared" si="3"/>
        <v>224916990</v>
      </c>
      <c r="R210" s="7">
        <f t="shared" si="4"/>
        <v>0.3287125453</v>
      </c>
      <c r="S210" s="2" t="str">
        <f t="shared" si="5"/>
        <v>2025-06</v>
      </c>
      <c r="T210" s="2" t="str">
        <f t="shared" si="6"/>
        <v>T2-2025</v>
      </c>
    </row>
    <row r="211" ht="15.75" customHeight="1">
      <c r="A211" s="2" t="s">
        <v>268</v>
      </c>
      <c r="B211" s="3">
        <v>45818.0</v>
      </c>
      <c r="C211" s="2" t="s">
        <v>21</v>
      </c>
      <c r="D211" s="2" t="s">
        <v>22</v>
      </c>
      <c r="E211" s="2" t="s">
        <v>77</v>
      </c>
      <c r="F211" s="2" t="s">
        <v>35</v>
      </c>
      <c r="G211" s="2" t="s">
        <v>25</v>
      </c>
      <c r="H211" s="2" t="s">
        <v>54</v>
      </c>
      <c r="I211" s="4">
        <v>134.0</v>
      </c>
      <c r="J211" s="5">
        <v>3384000.0</v>
      </c>
      <c r="K211" s="5">
        <v>2391698.0</v>
      </c>
      <c r="L211" s="2">
        <v>2.0</v>
      </c>
      <c r="M211" s="6">
        <v>6.189</v>
      </c>
      <c r="N211" s="6">
        <v>-67.486</v>
      </c>
      <c r="O211" s="5">
        <f t="shared" si="1"/>
        <v>453456000</v>
      </c>
      <c r="P211" s="5">
        <f t="shared" si="2"/>
        <v>320487532</v>
      </c>
      <c r="Q211" s="5">
        <f t="shared" si="3"/>
        <v>132968468</v>
      </c>
      <c r="R211" s="7">
        <f t="shared" si="4"/>
        <v>0.2932334515</v>
      </c>
      <c r="S211" s="2" t="str">
        <f t="shared" si="5"/>
        <v>2025-06</v>
      </c>
      <c r="T211" s="2" t="str">
        <f t="shared" si="6"/>
        <v>T2-2025</v>
      </c>
    </row>
    <row r="212" ht="15.75" customHeight="1">
      <c r="A212" s="2" t="s">
        <v>269</v>
      </c>
      <c r="B212" s="3">
        <v>45819.0</v>
      </c>
      <c r="C212" s="2" t="s">
        <v>32</v>
      </c>
      <c r="D212" s="2" t="s">
        <v>33</v>
      </c>
      <c r="E212" s="2" t="s">
        <v>28</v>
      </c>
      <c r="F212" s="2" t="s">
        <v>29</v>
      </c>
      <c r="G212" s="2" t="s">
        <v>43</v>
      </c>
      <c r="H212" s="2" t="s">
        <v>78</v>
      </c>
      <c r="I212" s="4">
        <v>109.2</v>
      </c>
      <c r="J212" s="5">
        <v>1.4085E7</v>
      </c>
      <c r="K212" s="5">
        <v>1.0173851E7</v>
      </c>
      <c r="L212" s="2">
        <v>3.0</v>
      </c>
      <c r="M212" s="6">
        <v>6.244</v>
      </c>
      <c r="N212" s="6">
        <v>-75.581</v>
      </c>
      <c r="O212" s="5">
        <f t="shared" si="1"/>
        <v>1538082000</v>
      </c>
      <c r="P212" s="5">
        <f t="shared" si="2"/>
        <v>1110984529</v>
      </c>
      <c r="Q212" s="5">
        <f t="shared" si="3"/>
        <v>427097470.8</v>
      </c>
      <c r="R212" s="7">
        <f t="shared" si="4"/>
        <v>0.2776818601</v>
      </c>
      <c r="S212" s="2" t="str">
        <f t="shared" si="5"/>
        <v>2025-06</v>
      </c>
      <c r="T212" s="2" t="str">
        <f t="shared" si="6"/>
        <v>T2-2025</v>
      </c>
    </row>
    <row r="213" ht="15.75" customHeight="1">
      <c r="A213" s="2" t="s">
        <v>270</v>
      </c>
      <c r="B213" s="3">
        <v>45820.0</v>
      </c>
      <c r="C213" s="2" t="s">
        <v>21</v>
      </c>
      <c r="D213" s="2" t="s">
        <v>22</v>
      </c>
      <c r="E213" s="2" t="s">
        <v>41</v>
      </c>
      <c r="F213" s="2" t="s">
        <v>42</v>
      </c>
      <c r="G213" s="2" t="s">
        <v>63</v>
      </c>
      <c r="H213" s="2" t="s">
        <v>54</v>
      </c>
      <c r="I213" s="4">
        <v>58.2</v>
      </c>
      <c r="J213" s="5">
        <v>1762000.0</v>
      </c>
      <c r="K213" s="5">
        <v>1079078.0</v>
      </c>
      <c r="L213" s="2">
        <v>4.0</v>
      </c>
      <c r="M213" s="6">
        <v>6.189</v>
      </c>
      <c r="N213" s="6">
        <v>-67.486</v>
      </c>
      <c r="O213" s="5">
        <f t="shared" si="1"/>
        <v>102548400</v>
      </c>
      <c r="P213" s="5">
        <f t="shared" si="2"/>
        <v>62802339.6</v>
      </c>
      <c r="Q213" s="5">
        <f t="shared" si="3"/>
        <v>39746060.4</v>
      </c>
      <c r="R213" s="7">
        <f t="shared" si="4"/>
        <v>0.3875834279</v>
      </c>
      <c r="S213" s="2" t="str">
        <f t="shared" si="5"/>
        <v>2025-06</v>
      </c>
      <c r="T213" s="2" t="str">
        <f t="shared" si="6"/>
        <v>T2-2025</v>
      </c>
    </row>
    <row r="214" ht="15.75" customHeight="1">
      <c r="A214" s="2" t="s">
        <v>271</v>
      </c>
      <c r="B214" s="3">
        <v>45821.0</v>
      </c>
      <c r="C214" s="2" t="s">
        <v>56</v>
      </c>
      <c r="D214" s="2" t="s">
        <v>57</v>
      </c>
      <c r="E214" s="2" t="s">
        <v>88</v>
      </c>
      <c r="F214" s="2" t="s">
        <v>62</v>
      </c>
      <c r="G214" s="2" t="s">
        <v>36</v>
      </c>
      <c r="H214" s="2" t="s">
        <v>54</v>
      </c>
      <c r="I214" s="4">
        <v>18.5</v>
      </c>
      <c r="J214" s="5">
        <v>1310000.0</v>
      </c>
      <c r="K214" s="5">
        <v>929351.0</v>
      </c>
      <c r="L214" s="2">
        <v>2.0</v>
      </c>
      <c r="M214" s="6">
        <v>4.142</v>
      </c>
      <c r="N214" s="6">
        <v>-73.626</v>
      </c>
      <c r="O214" s="5">
        <f t="shared" si="1"/>
        <v>24235000</v>
      </c>
      <c r="P214" s="5">
        <f t="shared" si="2"/>
        <v>17192993.5</v>
      </c>
      <c r="Q214" s="5">
        <f t="shared" si="3"/>
        <v>7042006.5</v>
      </c>
      <c r="R214" s="7">
        <f t="shared" si="4"/>
        <v>0.2905717557</v>
      </c>
      <c r="S214" s="2" t="str">
        <f t="shared" si="5"/>
        <v>2025-06</v>
      </c>
      <c r="T214" s="2" t="str">
        <f t="shared" si="6"/>
        <v>T2-2025</v>
      </c>
    </row>
    <row r="215" ht="15.75" customHeight="1">
      <c r="A215" s="2" t="s">
        <v>272</v>
      </c>
      <c r="B215" s="3">
        <v>45822.0</v>
      </c>
      <c r="C215" s="2" t="s">
        <v>51</v>
      </c>
      <c r="D215" s="2" t="s">
        <v>52</v>
      </c>
      <c r="E215" s="2" t="s">
        <v>28</v>
      </c>
      <c r="F215" s="2" t="s">
        <v>29</v>
      </c>
      <c r="G215" s="2" t="s">
        <v>63</v>
      </c>
      <c r="H215" s="2" t="s">
        <v>30</v>
      </c>
      <c r="I215" s="4">
        <v>301.2</v>
      </c>
      <c r="J215" s="5">
        <v>1.3883E7</v>
      </c>
      <c r="K215" s="5">
        <v>9415174.0</v>
      </c>
      <c r="L215" s="2">
        <v>5.0</v>
      </c>
      <c r="M215" s="6">
        <v>4.711</v>
      </c>
      <c r="N215" s="6">
        <v>-74.072</v>
      </c>
      <c r="O215" s="5">
        <f t="shared" si="1"/>
        <v>4181559600</v>
      </c>
      <c r="P215" s="5">
        <f t="shared" si="2"/>
        <v>2835850409</v>
      </c>
      <c r="Q215" s="5">
        <f t="shared" si="3"/>
        <v>1345709191</v>
      </c>
      <c r="R215" s="7">
        <f t="shared" si="4"/>
        <v>0.3218199236</v>
      </c>
      <c r="S215" s="2" t="str">
        <f t="shared" si="5"/>
        <v>2025-06</v>
      </c>
      <c r="T215" s="2" t="str">
        <f t="shared" si="6"/>
        <v>T2-2025</v>
      </c>
    </row>
    <row r="216" ht="15.75" customHeight="1">
      <c r="A216" s="2" t="s">
        <v>273</v>
      </c>
      <c r="B216" s="3">
        <v>45827.0</v>
      </c>
      <c r="C216" s="2" t="s">
        <v>21</v>
      </c>
      <c r="D216" s="2" t="s">
        <v>22</v>
      </c>
      <c r="E216" s="2" t="s">
        <v>53</v>
      </c>
      <c r="F216" s="2" t="s">
        <v>29</v>
      </c>
      <c r="G216" s="2" t="s">
        <v>36</v>
      </c>
      <c r="H216" s="2" t="s">
        <v>58</v>
      </c>
      <c r="I216" s="4">
        <v>262.1</v>
      </c>
      <c r="J216" s="5">
        <v>9977000.0</v>
      </c>
      <c r="K216" s="5">
        <v>6369668.0</v>
      </c>
      <c r="L216" s="2">
        <v>2.0</v>
      </c>
      <c r="M216" s="6">
        <v>6.189</v>
      </c>
      <c r="N216" s="6">
        <v>-67.486</v>
      </c>
      <c r="O216" s="5">
        <f t="shared" si="1"/>
        <v>2614971700</v>
      </c>
      <c r="P216" s="5">
        <f t="shared" si="2"/>
        <v>1669489983</v>
      </c>
      <c r="Q216" s="5">
        <f t="shared" si="3"/>
        <v>945481717.2</v>
      </c>
      <c r="R216" s="7">
        <f t="shared" si="4"/>
        <v>0.361564799</v>
      </c>
      <c r="S216" s="2" t="str">
        <f t="shared" si="5"/>
        <v>2025-06</v>
      </c>
      <c r="T216" s="2" t="str">
        <f t="shared" si="6"/>
        <v>T2-2025</v>
      </c>
    </row>
    <row r="217" ht="15.75" customHeight="1">
      <c r="A217" s="2" t="s">
        <v>274</v>
      </c>
      <c r="B217" s="3">
        <v>45828.0</v>
      </c>
      <c r="C217" s="2" t="s">
        <v>56</v>
      </c>
      <c r="D217" s="2" t="s">
        <v>57</v>
      </c>
      <c r="E217" s="2" t="s">
        <v>53</v>
      </c>
      <c r="F217" s="2" t="s">
        <v>29</v>
      </c>
      <c r="G217" s="2" t="s">
        <v>43</v>
      </c>
      <c r="H217" s="2" t="s">
        <v>37</v>
      </c>
      <c r="I217" s="4">
        <v>190.0</v>
      </c>
      <c r="J217" s="5">
        <v>1.1079E7</v>
      </c>
      <c r="K217" s="5">
        <v>7776499.0</v>
      </c>
      <c r="L217" s="2">
        <v>4.0</v>
      </c>
      <c r="M217" s="6">
        <v>4.142</v>
      </c>
      <c r="N217" s="6">
        <v>-73.626</v>
      </c>
      <c r="O217" s="5">
        <f t="shared" si="1"/>
        <v>2105010000</v>
      </c>
      <c r="P217" s="5">
        <f t="shared" si="2"/>
        <v>1477534810</v>
      </c>
      <c r="Q217" s="5">
        <f t="shared" si="3"/>
        <v>627475190</v>
      </c>
      <c r="R217" s="7">
        <f t="shared" si="4"/>
        <v>0.2980865602</v>
      </c>
      <c r="S217" s="2" t="str">
        <f t="shared" si="5"/>
        <v>2025-06</v>
      </c>
      <c r="T217" s="2" t="str">
        <f t="shared" si="6"/>
        <v>T2-2025</v>
      </c>
    </row>
    <row r="218" ht="15.75" customHeight="1">
      <c r="A218" s="2" t="s">
        <v>275</v>
      </c>
      <c r="B218" s="3">
        <v>45829.0</v>
      </c>
      <c r="C218" s="2" t="s">
        <v>21</v>
      </c>
      <c r="D218" s="2" t="s">
        <v>22</v>
      </c>
      <c r="E218" s="2" t="s">
        <v>23</v>
      </c>
      <c r="F218" s="2" t="s">
        <v>24</v>
      </c>
      <c r="G218" s="2" t="s">
        <v>63</v>
      </c>
      <c r="H218" s="2" t="s">
        <v>54</v>
      </c>
      <c r="I218" s="4">
        <v>54.7</v>
      </c>
      <c r="J218" s="5">
        <v>1869000.0</v>
      </c>
      <c r="K218" s="5">
        <v>1157803.0</v>
      </c>
      <c r="L218" s="2">
        <v>1.0</v>
      </c>
      <c r="M218" s="6">
        <v>6.189</v>
      </c>
      <c r="N218" s="6">
        <v>-67.486</v>
      </c>
      <c r="O218" s="5">
        <f t="shared" si="1"/>
        <v>102234300</v>
      </c>
      <c r="P218" s="5">
        <f t="shared" si="2"/>
        <v>63331824.1</v>
      </c>
      <c r="Q218" s="5">
        <f t="shared" si="3"/>
        <v>38902475.9</v>
      </c>
      <c r="R218" s="7">
        <f t="shared" si="4"/>
        <v>0.3805227394</v>
      </c>
      <c r="S218" s="2" t="str">
        <f t="shared" si="5"/>
        <v>2025-06</v>
      </c>
      <c r="T218" s="2" t="str">
        <f t="shared" si="6"/>
        <v>T2-2025</v>
      </c>
    </row>
    <row r="219" ht="15.75" customHeight="1">
      <c r="A219" s="2" t="s">
        <v>276</v>
      </c>
      <c r="B219" s="3">
        <v>45831.0</v>
      </c>
      <c r="C219" s="2" t="s">
        <v>39</v>
      </c>
      <c r="D219" s="2" t="s">
        <v>40</v>
      </c>
      <c r="E219" s="2" t="s">
        <v>65</v>
      </c>
      <c r="F219" s="2" t="s">
        <v>42</v>
      </c>
      <c r="G219" s="2" t="s">
        <v>46</v>
      </c>
      <c r="H219" s="2" t="s">
        <v>37</v>
      </c>
      <c r="I219" s="4">
        <v>42.1</v>
      </c>
      <c r="J219" s="5">
        <v>3092000.0</v>
      </c>
      <c r="K219" s="5">
        <v>1898289.0</v>
      </c>
      <c r="L219" s="2">
        <v>2.0</v>
      </c>
      <c r="M219" s="6">
        <v>4.439</v>
      </c>
      <c r="N219" s="6">
        <v>-75.232</v>
      </c>
      <c r="O219" s="5">
        <f t="shared" si="1"/>
        <v>130173200</v>
      </c>
      <c r="P219" s="5">
        <f t="shared" si="2"/>
        <v>79917966.9</v>
      </c>
      <c r="Q219" s="5">
        <f t="shared" si="3"/>
        <v>50255233.1</v>
      </c>
      <c r="R219" s="7">
        <f t="shared" si="4"/>
        <v>0.3860643596</v>
      </c>
      <c r="S219" s="2" t="str">
        <f t="shared" si="5"/>
        <v>2025-06</v>
      </c>
      <c r="T219" s="2" t="str">
        <f t="shared" si="6"/>
        <v>T2-2025</v>
      </c>
    </row>
    <row r="220" ht="15.75" customHeight="1">
      <c r="A220" s="2" t="s">
        <v>277</v>
      </c>
      <c r="B220" s="3">
        <v>45832.0</v>
      </c>
      <c r="C220" s="2" t="s">
        <v>56</v>
      </c>
      <c r="D220" s="2" t="s">
        <v>57</v>
      </c>
      <c r="E220" s="2" t="s">
        <v>28</v>
      </c>
      <c r="F220" s="2" t="s">
        <v>29</v>
      </c>
      <c r="G220" s="2" t="s">
        <v>46</v>
      </c>
      <c r="H220" s="2" t="s">
        <v>54</v>
      </c>
      <c r="I220" s="4">
        <v>126.8</v>
      </c>
      <c r="J220" s="5">
        <v>1.1195E7</v>
      </c>
      <c r="K220" s="5">
        <v>7080353.0</v>
      </c>
      <c r="L220" s="2">
        <v>5.0</v>
      </c>
      <c r="M220" s="6">
        <v>4.142</v>
      </c>
      <c r="N220" s="6">
        <v>-73.626</v>
      </c>
      <c r="O220" s="5">
        <f t="shared" si="1"/>
        <v>1419526000</v>
      </c>
      <c r="P220" s="5">
        <f t="shared" si="2"/>
        <v>897788760.4</v>
      </c>
      <c r="Q220" s="5">
        <f t="shared" si="3"/>
        <v>521737239.6</v>
      </c>
      <c r="R220" s="7">
        <f t="shared" si="4"/>
        <v>0.3675432782</v>
      </c>
      <c r="S220" s="2" t="str">
        <f t="shared" si="5"/>
        <v>2025-06</v>
      </c>
      <c r="T220" s="2" t="str">
        <f t="shared" si="6"/>
        <v>T2-2025</v>
      </c>
    </row>
    <row r="221" ht="15.75" customHeight="1">
      <c r="A221" s="2" t="s">
        <v>278</v>
      </c>
      <c r="B221" s="3">
        <v>45835.0</v>
      </c>
      <c r="C221" s="2" t="s">
        <v>48</v>
      </c>
      <c r="D221" s="2" t="s">
        <v>49</v>
      </c>
      <c r="E221" s="2" t="s">
        <v>67</v>
      </c>
      <c r="F221" s="2" t="s">
        <v>24</v>
      </c>
      <c r="G221" s="2" t="s">
        <v>46</v>
      </c>
      <c r="H221" s="2" t="s">
        <v>30</v>
      </c>
      <c r="I221" s="4">
        <v>230.5</v>
      </c>
      <c r="J221" s="5">
        <v>1.5354E7</v>
      </c>
      <c r="K221" s="5">
        <v>1.1085549E7</v>
      </c>
      <c r="L221" s="2">
        <v>2.0</v>
      </c>
      <c r="M221" s="6">
        <v>5.339</v>
      </c>
      <c r="N221" s="6">
        <v>-72.395</v>
      </c>
      <c r="O221" s="5">
        <f t="shared" si="1"/>
        <v>3539097000</v>
      </c>
      <c r="P221" s="5">
        <f t="shared" si="2"/>
        <v>2555219045</v>
      </c>
      <c r="Q221" s="5">
        <f t="shared" si="3"/>
        <v>983877955.5</v>
      </c>
      <c r="R221" s="7">
        <f t="shared" si="4"/>
        <v>0.2780025401</v>
      </c>
      <c r="S221" s="2" t="str">
        <f t="shared" si="5"/>
        <v>2025-06</v>
      </c>
      <c r="T221" s="2" t="str">
        <f t="shared" si="6"/>
        <v>T2-2025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22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26" width="8.71"/>
  </cols>
  <sheetData>
    <row r="1">
      <c r="A1" s="8" t="s">
        <v>279</v>
      </c>
      <c r="B1" s="8" t="s">
        <v>280</v>
      </c>
    </row>
    <row r="2">
      <c r="A2" s="9" t="s">
        <v>0</v>
      </c>
      <c r="B2" s="9" t="s">
        <v>281</v>
      </c>
    </row>
    <row r="3">
      <c r="A3" s="9" t="s">
        <v>1</v>
      </c>
      <c r="B3" s="9" t="s">
        <v>282</v>
      </c>
    </row>
    <row r="4">
      <c r="A4" s="9" t="s">
        <v>2</v>
      </c>
      <c r="B4" s="9" t="s">
        <v>283</v>
      </c>
    </row>
    <row r="5">
      <c r="A5" s="9" t="s">
        <v>3</v>
      </c>
      <c r="B5" s="9" t="s">
        <v>284</v>
      </c>
    </row>
    <row r="6">
      <c r="A6" s="9" t="s">
        <v>4</v>
      </c>
      <c r="B6" s="9" t="s">
        <v>285</v>
      </c>
    </row>
    <row r="7">
      <c r="A7" s="9" t="s">
        <v>5</v>
      </c>
      <c r="B7" s="9" t="s">
        <v>286</v>
      </c>
    </row>
    <row r="8">
      <c r="A8" s="9" t="s">
        <v>6</v>
      </c>
      <c r="B8" s="9" t="s">
        <v>287</v>
      </c>
    </row>
    <row r="9">
      <c r="A9" s="9" t="s">
        <v>7</v>
      </c>
      <c r="B9" s="9" t="s">
        <v>288</v>
      </c>
    </row>
    <row r="10">
      <c r="A10" s="9" t="s">
        <v>8</v>
      </c>
      <c r="B10" s="9" t="s">
        <v>289</v>
      </c>
    </row>
    <row r="11">
      <c r="A11" s="9" t="s">
        <v>9</v>
      </c>
      <c r="B11" s="9" t="s">
        <v>290</v>
      </c>
    </row>
    <row r="12">
      <c r="A12" s="9" t="s">
        <v>10</v>
      </c>
      <c r="B12" s="9" t="s">
        <v>291</v>
      </c>
    </row>
    <row r="13">
      <c r="A13" s="9" t="s">
        <v>11</v>
      </c>
      <c r="B13" s="9" t="s">
        <v>292</v>
      </c>
    </row>
    <row r="14">
      <c r="A14" s="9" t="s">
        <v>293</v>
      </c>
      <c r="B14" s="9" t="s">
        <v>294</v>
      </c>
    </row>
    <row r="15">
      <c r="A15" s="9" t="s">
        <v>14</v>
      </c>
      <c r="B15" s="9" t="s">
        <v>295</v>
      </c>
    </row>
    <row r="16">
      <c r="A16" s="9" t="s">
        <v>15</v>
      </c>
      <c r="B16" s="9" t="s">
        <v>296</v>
      </c>
    </row>
    <row r="17">
      <c r="A17" s="9" t="s">
        <v>16</v>
      </c>
      <c r="B17" s="9" t="s">
        <v>297</v>
      </c>
    </row>
    <row r="18">
      <c r="A18" s="9" t="s">
        <v>17</v>
      </c>
      <c r="B18" s="9" t="s">
        <v>298</v>
      </c>
    </row>
    <row r="19">
      <c r="A19" s="9" t="s">
        <v>299</v>
      </c>
      <c r="B19" s="9" t="s">
        <v>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2026-06-05T00:01:42Z</dcterms:created>
  <dc:creator>openpyxl</dc:creator>
</cp:coreProperties>
</file>