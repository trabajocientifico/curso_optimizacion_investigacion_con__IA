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iguel Rico\Downloads\"/>
    </mc:Choice>
  </mc:AlternateContent>
  <xr:revisionPtr revIDLastSave="0" documentId="13_ncr:1_{3D7FAAEA-B303-44F4-B27F-A70B1D9EAD1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nálisis de Asistencia" sheetId="4" r:id="rId1"/>
    <sheet name="Grupos - Producto" sheetId="6" r:id="rId2"/>
    <sheet name="inscritos en plataforma" sheetId="3" r:id="rId3"/>
    <sheet name="Respuestas de formulario 1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9" i="4" l="1"/>
  <c r="J59" i="4"/>
  <c r="I59" i="4"/>
  <c r="H59" i="4"/>
  <c r="G59" i="4"/>
  <c r="F59" i="4"/>
  <c r="E59" i="4"/>
  <c r="D59" i="4"/>
  <c r="C59" i="4"/>
  <c r="B59" i="4"/>
  <c r="K58" i="4"/>
  <c r="J58" i="4"/>
  <c r="I58" i="4"/>
  <c r="H58" i="4"/>
  <c r="G58" i="4"/>
  <c r="F58" i="4"/>
  <c r="E58" i="4"/>
  <c r="D58" i="4"/>
  <c r="C58" i="4"/>
  <c r="B58" i="4"/>
  <c r="K56" i="4"/>
  <c r="J56" i="4"/>
  <c r="I56" i="4"/>
  <c r="H56" i="4"/>
  <c r="G56" i="4"/>
  <c r="F56" i="4"/>
  <c r="E56" i="4"/>
  <c r="D56" i="4"/>
  <c r="C56" i="4"/>
  <c r="B56" i="4"/>
  <c r="K55" i="4"/>
  <c r="J55" i="4"/>
  <c r="I55" i="4"/>
  <c r="H55" i="4"/>
  <c r="G55" i="4"/>
  <c r="F55" i="4"/>
  <c r="E55" i="4"/>
  <c r="D55" i="4"/>
  <c r="C55" i="4"/>
  <c r="B55" i="4"/>
  <c r="K54" i="4"/>
  <c r="J54" i="4"/>
  <c r="I54" i="4"/>
  <c r="H54" i="4"/>
  <c r="G54" i="4"/>
  <c r="F54" i="4"/>
  <c r="E54" i="4"/>
  <c r="D54" i="4"/>
  <c r="C54" i="4"/>
  <c r="B54" i="4"/>
  <c r="K53" i="4"/>
  <c r="J53" i="4"/>
  <c r="I53" i="4"/>
  <c r="H53" i="4"/>
  <c r="G53" i="4"/>
  <c r="F53" i="4"/>
  <c r="E53" i="4"/>
  <c r="D53" i="4"/>
  <c r="C53" i="4"/>
  <c r="B53" i="4"/>
  <c r="K52" i="4"/>
  <c r="J52" i="4"/>
  <c r="I52" i="4"/>
  <c r="H52" i="4"/>
  <c r="G52" i="4"/>
  <c r="F52" i="4"/>
  <c r="E52" i="4"/>
  <c r="D52" i="4"/>
  <c r="C52" i="4"/>
  <c r="B52" i="4"/>
  <c r="K51" i="4"/>
  <c r="J51" i="4"/>
  <c r="I51" i="4"/>
  <c r="H51" i="4"/>
  <c r="G51" i="4"/>
  <c r="F51" i="4"/>
  <c r="E51" i="4"/>
  <c r="D51" i="4"/>
  <c r="C51" i="4"/>
  <c r="B51" i="4"/>
  <c r="K50" i="4"/>
  <c r="J50" i="4"/>
  <c r="I50" i="4"/>
  <c r="H50" i="4"/>
  <c r="G50" i="4"/>
  <c r="F50" i="4"/>
  <c r="E50" i="4"/>
  <c r="D50" i="4"/>
  <c r="C50" i="4"/>
  <c r="B50" i="4"/>
  <c r="K49" i="4"/>
  <c r="J49" i="4"/>
  <c r="I49" i="4"/>
  <c r="H49" i="4"/>
  <c r="G49" i="4"/>
  <c r="F49" i="4"/>
  <c r="E49" i="4"/>
  <c r="D49" i="4"/>
  <c r="C49" i="4"/>
  <c r="B49" i="4"/>
  <c r="K48" i="4"/>
  <c r="J48" i="4"/>
  <c r="I48" i="4"/>
  <c r="H48" i="4"/>
  <c r="G48" i="4"/>
  <c r="F48" i="4"/>
  <c r="E48" i="4"/>
  <c r="D48" i="4"/>
  <c r="C48" i="4"/>
  <c r="B48" i="4"/>
  <c r="K47" i="4"/>
  <c r="J47" i="4"/>
  <c r="I47" i="4"/>
  <c r="H47" i="4"/>
  <c r="G47" i="4"/>
  <c r="F47" i="4"/>
  <c r="E47" i="4"/>
  <c r="D47" i="4"/>
  <c r="C47" i="4"/>
  <c r="B47" i="4"/>
  <c r="K46" i="4"/>
  <c r="J46" i="4"/>
  <c r="I46" i="4"/>
  <c r="H46" i="4"/>
  <c r="G46" i="4"/>
  <c r="F46" i="4"/>
  <c r="E46" i="4"/>
  <c r="D46" i="4"/>
  <c r="C46" i="4"/>
  <c r="B46" i="4"/>
  <c r="K45" i="4"/>
  <c r="J45" i="4"/>
  <c r="I45" i="4"/>
  <c r="H45" i="4"/>
  <c r="G45" i="4"/>
  <c r="F45" i="4"/>
  <c r="E45" i="4"/>
  <c r="D45" i="4"/>
  <c r="C45" i="4"/>
  <c r="B45" i="4"/>
  <c r="K44" i="4"/>
  <c r="J44" i="4"/>
  <c r="I44" i="4"/>
  <c r="H44" i="4"/>
  <c r="G44" i="4"/>
  <c r="F44" i="4"/>
  <c r="E44" i="4"/>
  <c r="D44" i="4"/>
  <c r="C44" i="4"/>
  <c r="B44" i="4"/>
  <c r="K43" i="4"/>
  <c r="J43" i="4"/>
  <c r="I43" i="4"/>
  <c r="H43" i="4"/>
  <c r="G43" i="4"/>
  <c r="F43" i="4"/>
  <c r="E43" i="4"/>
  <c r="D43" i="4"/>
  <c r="C43" i="4"/>
  <c r="B43" i="4"/>
  <c r="K42" i="4"/>
  <c r="J42" i="4"/>
  <c r="I42" i="4"/>
  <c r="H42" i="4"/>
  <c r="G42" i="4"/>
  <c r="F42" i="4"/>
  <c r="E42" i="4"/>
  <c r="D42" i="4"/>
  <c r="C42" i="4"/>
  <c r="B42" i="4"/>
  <c r="K41" i="4"/>
  <c r="J41" i="4"/>
  <c r="I41" i="4"/>
  <c r="H41" i="4"/>
  <c r="G41" i="4"/>
  <c r="F41" i="4"/>
  <c r="E41" i="4"/>
  <c r="D41" i="4"/>
  <c r="C41" i="4"/>
  <c r="B41" i="4"/>
  <c r="K40" i="4"/>
  <c r="J40" i="4"/>
  <c r="I40" i="4"/>
  <c r="H40" i="4"/>
  <c r="G40" i="4"/>
  <c r="F40" i="4"/>
  <c r="E40" i="4"/>
  <c r="D40" i="4"/>
  <c r="C40" i="4"/>
  <c r="B40" i="4"/>
  <c r="K39" i="4"/>
  <c r="J39" i="4"/>
  <c r="I39" i="4"/>
  <c r="H39" i="4"/>
  <c r="G39" i="4"/>
  <c r="F39" i="4"/>
  <c r="E39" i="4"/>
  <c r="D39" i="4"/>
  <c r="C39" i="4"/>
  <c r="B39" i="4"/>
  <c r="K38" i="4"/>
  <c r="J38" i="4"/>
  <c r="I38" i="4"/>
  <c r="H38" i="4"/>
  <c r="G38" i="4"/>
  <c r="F38" i="4"/>
  <c r="E38" i="4"/>
  <c r="D38" i="4"/>
  <c r="C38" i="4"/>
  <c r="B38" i="4"/>
  <c r="K37" i="4"/>
  <c r="J37" i="4"/>
  <c r="I37" i="4"/>
  <c r="H37" i="4"/>
  <c r="G37" i="4"/>
  <c r="F37" i="4"/>
  <c r="E37" i="4"/>
  <c r="D37" i="4"/>
  <c r="C37" i="4"/>
  <c r="B37" i="4"/>
  <c r="K36" i="4"/>
  <c r="J36" i="4"/>
  <c r="I36" i="4"/>
  <c r="H36" i="4"/>
  <c r="G36" i="4"/>
  <c r="F36" i="4"/>
  <c r="E36" i="4"/>
  <c r="D36" i="4"/>
  <c r="C36" i="4"/>
  <c r="B36" i="4"/>
  <c r="K35" i="4"/>
  <c r="J35" i="4"/>
  <c r="I35" i="4"/>
  <c r="H35" i="4"/>
  <c r="G35" i="4"/>
  <c r="F35" i="4"/>
  <c r="E35" i="4"/>
  <c r="D35" i="4"/>
  <c r="C35" i="4"/>
  <c r="B35" i="4"/>
  <c r="K34" i="4"/>
  <c r="J34" i="4"/>
  <c r="I34" i="4"/>
  <c r="H34" i="4"/>
  <c r="G34" i="4"/>
  <c r="F34" i="4"/>
  <c r="E34" i="4"/>
  <c r="D34" i="4"/>
  <c r="C34" i="4"/>
  <c r="B34" i="4"/>
  <c r="K33" i="4"/>
  <c r="J33" i="4"/>
  <c r="I33" i="4"/>
  <c r="H33" i="4"/>
  <c r="G33" i="4"/>
  <c r="F33" i="4"/>
  <c r="E33" i="4"/>
  <c r="D33" i="4"/>
  <c r="C33" i="4"/>
  <c r="B33" i="4"/>
  <c r="K32" i="4"/>
  <c r="J32" i="4"/>
  <c r="I32" i="4"/>
  <c r="H32" i="4"/>
  <c r="G32" i="4"/>
  <c r="F32" i="4"/>
  <c r="E32" i="4"/>
  <c r="D32" i="4"/>
  <c r="C32" i="4"/>
  <c r="B32" i="4"/>
  <c r="K31" i="4"/>
  <c r="J31" i="4"/>
  <c r="I31" i="4"/>
  <c r="H31" i="4"/>
  <c r="G31" i="4"/>
  <c r="F31" i="4"/>
  <c r="E31" i="4"/>
  <c r="D31" i="4"/>
  <c r="C31" i="4"/>
  <c r="B31" i="4"/>
  <c r="K30" i="4"/>
  <c r="J30" i="4"/>
  <c r="I30" i="4"/>
  <c r="H30" i="4"/>
  <c r="G30" i="4"/>
  <c r="F30" i="4"/>
  <c r="E30" i="4"/>
  <c r="D30" i="4"/>
  <c r="C30" i="4"/>
  <c r="B30" i="4"/>
  <c r="K29" i="4"/>
  <c r="J29" i="4"/>
  <c r="I29" i="4"/>
  <c r="H29" i="4"/>
  <c r="G29" i="4"/>
  <c r="F29" i="4"/>
  <c r="E29" i="4"/>
  <c r="D29" i="4"/>
  <c r="C29" i="4"/>
  <c r="B29" i="4"/>
  <c r="K28" i="4"/>
  <c r="J28" i="4"/>
  <c r="I28" i="4"/>
  <c r="H28" i="4"/>
  <c r="G28" i="4"/>
  <c r="F28" i="4"/>
  <c r="E28" i="4"/>
  <c r="D28" i="4"/>
  <c r="C28" i="4"/>
  <c r="B28" i="4"/>
  <c r="K27" i="4"/>
  <c r="J27" i="4"/>
  <c r="I27" i="4"/>
  <c r="H27" i="4"/>
  <c r="G27" i="4"/>
  <c r="F27" i="4"/>
  <c r="E27" i="4"/>
  <c r="D27" i="4"/>
  <c r="C27" i="4"/>
  <c r="B27" i="4"/>
  <c r="K26" i="4"/>
  <c r="J26" i="4"/>
  <c r="I26" i="4"/>
  <c r="H26" i="4"/>
  <c r="G26" i="4"/>
  <c r="F26" i="4"/>
  <c r="E26" i="4"/>
  <c r="D26" i="4"/>
  <c r="C26" i="4"/>
  <c r="B26" i="4"/>
  <c r="K25" i="4"/>
  <c r="J25" i="4"/>
  <c r="I25" i="4"/>
  <c r="H25" i="4"/>
  <c r="G25" i="4"/>
  <c r="F25" i="4"/>
  <c r="E25" i="4"/>
  <c r="D25" i="4"/>
  <c r="C25" i="4"/>
  <c r="B25" i="4"/>
  <c r="K24" i="4"/>
  <c r="J24" i="4"/>
  <c r="I24" i="4"/>
  <c r="H24" i="4"/>
  <c r="G24" i="4"/>
  <c r="F24" i="4"/>
  <c r="E24" i="4"/>
  <c r="D24" i="4"/>
  <c r="C24" i="4"/>
  <c r="B24" i="4"/>
  <c r="K23" i="4"/>
  <c r="J23" i="4"/>
  <c r="I23" i="4"/>
  <c r="H23" i="4"/>
  <c r="G23" i="4"/>
  <c r="F23" i="4"/>
  <c r="E23" i="4"/>
  <c r="D23" i="4"/>
  <c r="C23" i="4"/>
  <c r="B23" i="4"/>
  <c r="K22" i="4"/>
  <c r="J22" i="4"/>
  <c r="I22" i="4"/>
  <c r="H22" i="4"/>
  <c r="G22" i="4"/>
  <c r="F22" i="4"/>
  <c r="E22" i="4"/>
  <c r="D22" i="4"/>
  <c r="C22" i="4"/>
  <c r="B22" i="4"/>
  <c r="K21" i="4"/>
  <c r="J21" i="4"/>
  <c r="I21" i="4"/>
  <c r="H21" i="4"/>
  <c r="G21" i="4"/>
  <c r="F21" i="4"/>
  <c r="E21" i="4"/>
  <c r="D21" i="4"/>
  <c r="C21" i="4"/>
  <c r="B21" i="4"/>
  <c r="K20" i="4"/>
  <c r="J20" i="4"/>
  <c r="I20" i="4"/>
  <c r="H20" i="4"/>
  <c r="G20" i="4"/>
  <c r="F20" i="4"/>
  <c r="E20" i="4"/>
  <c r="D20" i="4"/>
  <c r="C20" i="4"/>
  <c r="B20" i="4"/>
  <c r="K19" i="4"/>
  <c r="J19" i="4"/>
  <c r="I19" i="4"/>
  <c r="H19" i="4"/>
  <c r="G19" i="4"/>
  <c r="F19" i="4"/>
  <c r="E19" i="4"/>
  <c r="D19" i="4"/>
  <c r="C19" i="4"/>
  <c r="B19" i="4"/>
  <c r="K18" i="4"/>
  <c r="J18" i="4"/>
  <c r="I18" i="4"/>
  <c r="H18" i="4"/>
  <c r="G18" i="4"/>
  <c r="F18" i="4"/>
  <c r="E18" i="4"/>
  <c r="D18" i="4"/>
  <c r="C18" i="4"/>
  <c r="B18" i="4"/>
  <c r="K17" i="4"/>
  <c r="J17" i="4"/>
  <c r="I17" i="4"/>
  <c r="H17" i="4"/>
  <c r="G17" i="4"/>
  <c r="F17" i="4"/>
  <c r="E17" i="4"/>
  <c r="D17" i="4"/>
  <c r="C17" i="4"/>
  <c r="B17" i="4"/>
  <c r="K16" i="4"/>
  <c r="J16" i="4"/>
  <c r="I16" i="4"/>
  <c r="H16" i="4"/>
  <c r="G16" i="4"/>
  <c r="F16" i="4"/>
  <c r="E16" i="4"/>
  <c r="D16" i="4"/>
  <c r="C16" i="4"/>
  <c r="B16" i="4"/>
  <c r="K15" i="4"/>
  <c r="J15" i="4"/>
  <c r="I15" i="4"/>
  <c r="H15" i="4"/>
  <c r="G15" i="4"/>
  <c r="F15" i="4"/>
  <c r="E15" i="4"/>
  <c r="D15" i="4"/>
  <c r="C15" i="4"/>
  <c r="B15" i="4"/>
  <c r="K14" i="4"/>
  <c r="J14" i="4"/>
  <c r="I14" i="4"/>
  <c r="H14" i="4"/>
  <c r="G14" i="4"/>
  <c r="F14" i="4"/>
  <c r="E14" i="4"/>
  <c r="D14" i="4"/>
  <c r="C14" i="4"/>
  <c r="B14" i="4"/>
  <c r="K13" i="4"/>
  <c r="J13" i="4"/>
  <c r="I13" i="4"/>
  <c r="H13" i="4"/>
  <c r="G13" i="4"/>
  <c r="F13" i="4"/>
  <c r="E13" i="4"/>
  <c r="D13" i="4"/>
  <c r="C13" i="4"/>
  <c r="B13" i="4"/>
  <c r="K12" i="4"/>
  <c r="J12" i="4"/>
  <c r="I12" i="4"/>
  <c r="H12" i="4"/>
  <c r="G12" i="4"/>
  <c r="F12" i="4"/>
  <c r="E12" i="4"/>
  <c r="D12" i="4"/>
  <c r="C12" i="4"/>
  <c r="B12" i="4"/>
  <c r="K11" i="4"/>
  <c r="J11" i="4"/>
  <c r="I11" i="4"/>
  <c r="H11" i="4"/>
  <c r="G11" i="4"/>
  <c r="F11" i="4"/>
  <c r="E11" i="4"/>
  <c r="D11" i="4"/>
  <c r="C11" i="4"/>
  <c r="B11" i="4"/>
  <c r="K10" i="4"/>
  <c r="J10" i="4"/>
  <c r="I10" i="4"/>
  <c r="H10" i="4"/>
  <c r="G10" i="4"/>
  <c r="F10" i="4"/>
  <c r="E10" i="4"/>
  <c r="D10" i="4"/>
  <c r="C10" i="4"/>
  <c r="B10" i="4"/>
  <c r="K9" i="4"/>
  <c r="J9" i="4"/>
  <c r="I9" i="4"/>
  <c r="H9" i="4"/>
  <c r="G9" i="4"/>
  <c r="F9" i="4"/>
  <c r="E9" i="4"/>
  <c r="D9" i="4"/>
  <c r="C9" i="4"/>
  <c r="B9" i="4"/>
  <c r="K8" i="4"/>
  <c r="J8" i="4"/>
  <c r="I8" i="4"/>
  <c r="H8" i="4"/>
  <c r="G8" i="4"/>
  <c r="F8" i="4"/>
  <c r="E8" i="4"/>
  <c r="D8" i="4"/>
  <c r="C8" i="4"/>
  <c r="B8" i="4"/>
  <c r="K7" i="4"/>
  <c r="J7" i="4"/>
  <c r="I7" i="4"/>
  <c r="H7" i="4"/>
  <c r="G7" i="4"/>
  <c r="F7" i="4"/>
  <c r="E7" i="4"/>
  <c r="D7" i="4"/>
  <c r="C7" i="4"/>
  <c r="B7" i="4"/>
  <c r="K6" i="4"/>
  <c r="J6" i="4"/>
  <c r="I6" i="4"/>
  <c r="H6" i="4"/>
  <c r="G6" i="4"/>
  <c r="F6" i="4"/>
  <c r="E6" i="4"/>
  <c r="D6" i="4"/>
  <c r="C6" i="4"/>
  <c r="B6" i="4"/>
  <c r="K5" i="4"/>
  <c r="J5" i="4"/>
  <c r="I5" i="4"/>
  <c r="H5" i="4"/>
  <c r="G5" i="4"/>
  <c r="F5" i="4"/>
  <c r="E5" i="4"/>
  <c r="D5" i="4"/>
  <c r="C5" i="4"/>
  <c r="B5" i="4"/>
  <c r="L59" i="4" l="1"/>
  <c r="M59" i="4" s="1"/>
  <c r="L9" i="4"/>
  <c r="M9" i="4" s="1"/>
  <c r="L25" i="4"/>
  <c r="M25" i="4" s="1"/>
  <c r="L27" i="4"/>
  <c r="M27" i="4" s="1"/>
  <c r="L29" i="4"/>
  <c r="M29" i="4" s="1"/>
  <c r="L31" i="4"/>
  <c r="M31" i="4" s="1"/>
  <c r="L33" i="4"/>
  <c r="M33" i="4" s="1"/>
  <c r="L37" i="4"/>
  <c r="M37" i="4" s="1"/>
  <c r="L39" i="4"/>
  <c r="M39" i="4" s="1"/>
  <c r="L41" i="4"/>
  <c r="M41" i="4" s="1"/>
  <c r="L50" i="4"/>
  <c r="M50" i="4" s="1"/>
  <c r="L7" i="4"/>
  <c r="M7" i="4" s="1"/>
  <c r="L17" i="4"/>
  <c r="M17" i="4" s="1"/>
  <c r="L19" i="4"/>
  <c r="M19" i="4" s="1"/>
  <c r="L21" i="4"/>
  <c r="M21" i="4" s="1"/>
  <c r="L23" i="4"/>
  <c r="M23" i="4" s="1"/>
  <c r="L43" i="4"/>
  <c r="M43" i="4" s="1"/>
  <c r="L47" i="4"/>
  <c r="M47" i="4" s="1"/>
  <c r="L49" i="4"/>
  <c r="M49" i="4" s="1"/>
  <c r="L51" i="4"/>
  <c r="M51" i="4" s="1"/>
  <c r="L56" i="4"/>
  <c r="M56" i="4" s="1"/>
  <c r="L13" i="4"/>
  <c r="M13" i="4" s="1"/>
  <c r="L15" i="4"/>
  <c r="M15" i="4" s="1"/>
  <c r="L5" i="4"/>
  <c r="L35" i="4"/>
  <c r="M35" i="4" s="1"/>
  <c r="L45" i="4"/>
  <c r="M45" i="4" s="1"/>
  <c r="L11" i="4"/>
  <c r="M11" i="4" s="1"/>
  <c r="L54" i="4"/>
  <c r="M54" i="4" s="1"/>
  <c r="L6" i="4"/>
  <c r="M6" i="4" s="1"/>
  <c r="L8" i="4"/>
  <c r="M8" i="4" s="1"/>
  <c r="L10" i="4"/>
  <c r="M10" i="4" s="1"/>
  <c r="L12" i="4"/>
  <c r="M12" i="4" s="1"/>
  <c r="L14" i="4"/>
  <c r="M14" i="4" s="1"/>
  <c r="L16" i="4"/>
  <c r="M16" i="4" s="1"/>
  <c r="L18" i="4"/>
  <c r="M18" i="4" s="1"/>
  <c r="L20" i="4"/>
  <c r="M20" i="4" s="1"/>
  <c r="L22" i="4"/>
  <c r="M22" i="4" s="1"/>
  <c r="L24" i="4"/>
  <c r="M24" i="4" s="1"/>
  <c r="L26" i="4"/>
  <c r="M26" i="4" s="1"/>
  <c r="L28" i="4"/>
  <c r="M28" i="4" s="1"/>
  <c r="L30" i="4"/>
  <c r="M30" i="4" s="1"/>
  <c r="L32" i="4"/>
  <c r="M32" i="4" s="1"/>
  <c r="L34" i="4"/>
  <c r="M34" i="4" s="1"/>
  <c r="L36" i="4"/>
  <c r="M36" i="4" s="1"/>
  <c r="L38" i="4"/>
  <c r="M38" i="4" s="1"/>
  <c r="L40" i="4"/>
  <c r="M40" i="4" s="1"/>
  <c r="L42" i="4"/>
  <c r="M42" i="4" s="1"/>
  <c r="L44" i="4"/>
  <c r="M44" i="4" s="1"/>
  <c r="L46" i="4"/>
  <c r="M46" i="4" s="1"/>
  <c r="L48" i="4"/>
  <c r="M48" i="4" s="1"/>
  <c r="L52" i="4"/>
  <c r="M52" i="4" s="1"/>
  <c r="L53" i="4"/>
  <c r="M53" i="4" s="1"/>
  <c r="L55" i="4"/>
  <c r="M55" i="4" s="1"/>
  <c r="L58" i="4"/>
  <c r="M58" i="4" s="1"/>
  <c r="M5" i="4" l="1"/>
</calcChain>
</file>

<file path=xl/sharedStrings.xml><?xml version="1.0" encoding="utf-8"?>
<sst xmlns="http://schemas.openxmlformats.org/spreadsheetml/2006/main" count="1325" uniqueCount="419">
  <si>
    <t>Nombre Completo</t>
  </si>
  <si>
    <t>Andrés Felipe NIño Sanabria</t>
  </si>
  <si>
    <t>Escuela de Artes</t>
  </si>
  <si>
    <t>Jhonatan Steven Mora Rodríguez</t>
  </si>
  <si>
    <t>Facultad de Ingeniería y Ciencias Básicas</t>
  </si>
  <si>
    <t xml:space="preserve">Dayana Calderon Manrique </t>
  </si>
  <si>
    <t>FACULTAD DE INGENIERÍA Y CIENCIAS BÁSICAS</t>
  </si>
  <si>
    <t xml:space="preserve">Jimmy Alexander Vega Florez </t>
  </si>
  <si>
    <t xml:space="preserve">Facultad de Ingeniería y Ciencias Básicas </t>
  </si>
  <si>
    <t>Fernando Ariza Cubides</t>
  </si>
  <si>
    <t>FICB</t>
  </si>
  <si>
    <t xml:space="preserve">Azeneth Flórez Gutiérrez </t>
  </si>
  <si>
    <t xml:space="preserve">Contaduría Pública </t>
  </si>
  <si>
    <t>Henry Antonio Romero León</t>
  </si>
  <si>
    <t>Facultad de Ciencias Empresariales, Jurídicas y de Comunicacion Estratégica</t>
  </si>
  <si>
    <t>Jonnthan López Hurtado</t>
  </si>
  <si>
    <t>Facultad de Ciencias Empresariales, Jurídicas y de Comunicación Estratégica</t>
  </si>
  <si>
    <t>Luis Fernando Jimenez Monsalve</t>
  </si>
  <si>
    <t>Jorge Enrique Muñoz Barragán</t>
  </si>
  <si>
    <t xml:space="preserve">Miguel David Castillo Alarcón </t>
  </si>
  <si>
    <t>FCEJCE</t>
  </si>
  <si>
    <t>Víctor Felipe Vallejo Rodríguez</t>
  </si>
  <si>
    <t>Alejandro David Charris Florez</t>
  </si>
  <si>
    <t>Derecho</t>
  </si>
  <si>
    <t>CONSTANZA BEATRIZ PEREZ MARTELO</t>
  </si>
  <si>
    <t>Monica Alejandra Rodriguez Aristizabal</t>
  </si>
  <si>
    <t>Maria Isabel Pérez Camacho</t>
  </si>
  <si>
    <t>Elias Buitrago Bolivar</t>
  </si>
  <si>
    <t xml:space="preserve">Sandra Bautista </t>
  </si>
  <si>
    <t xml:space="preserve">Facultad de ingeniería </t>
  </si>
  <si>
    <t>mauricio castaño</t>
  </si>
  <si>
    <t>ficb</t>
  </si>
  <si>
    <t xml:space="preserve">ANYI LORENA BAZURTO </t>
  </si>
  <si>
    <t xml:space="preserve">ADMÓN DE EMPRESAS </t>
  </si>
  <si>
    <t>Victoria Vallejo Quinter0</t>
  </si>
  <si>
    <t>Brigette Yanith Patiño Montaña</t>
  </si>
  <si>
    <t>David Macias Mora</t>
  </si>
  <si>
    <t>Ingeniería</t>
  </si>
  <si>
    <t>Juan Manuel Méndez Guzmán</t>
  </si>
  <si>
    <t>María Paz Guerrero</t>
  </si>
  <si>
    <t>Iris Leticia Fernández Marín</t>
  </si>
  <si>
    <t>Camilo Andres Pulido Laverde</t>
  </si>
  <si>
    <t>Enex</t>
  </si>
  <si>
    <t>LUIS FERNANDO JIMENEZ MONSALVE</t>
  </si>
  <si>
    <t>Diana Esperanza Oliveros Fortiche</t>
  </si>
  <si>
    <t>Comunicación social y periodismo</t>
  </si>
  <si>
    <t>JOSE MANUEL MORA ALVAREZ</t>
  </si>
  <si>
    <t>ESCUELA ENEX</t>
  </si>
  <si>
    <t xml:space="preserve">Henry Antonio Romero León </t>
  </si>
  <si>
    <t xml:space="preserve">Nidya Ivett Avella Mariño </t>
  </si>
  <si>
    <t xml:space="preserve">Escuela de Salud, Cuidado y Protección Social - Programada de Trabajo Social </t>
  </si>
  <si>
    <t xml:space="preserve">Rebeca Lozano Tabares </t>
  </si>
  <si>
    <t xml:space="preserve">Marketing </t>
  </si>
  <si>
    <t>FCEJyCE</t>
  </si>
  <si>
    <t>Oscar Mauricio Cepeda Valero</t>
  </si>
  <si>
    <t>SANDRA CECILIA BAUTISTA RODRÍGUEZ</t>
  </si>
  <si>
    <t>JIMMY ALEXANDER VEGA FLOREZ</t>
  </si>
  <si>
    <t>FACULTAD DE INGENIERIA Y CIENCIAS BASICAS</t>
  </si>
  <si>
    <t>Jonnathan López Hurtado</t>
  </si>
  <si>
    <t xml:space="preserve">Dayana Calderon </t>
  </si>
  <si>
    <t xml:space="preserve">Biología </t>
  </si>
  <si>
    <t xml:space="preserve">Jhonatan Steven Mora Rodríguez </t>
  </si>
  <si>
    <t xml:space="preserve">Monica Alejandra Rodriguez Aristizabal </t>
  </si>
  <si>
    <t>FICB - Departamento de Ingeniería Ambiental</t>
  </si>
  <si>
    <t>Maritza Páez Silva</t>
  </si>
  <si>
    <t>William Moscoso</t>
  </si>
  <si>
    <t>Ingenieria y Ciencias Basicas</t>
  </si>
  <si>
    <t>Azeneth Flórez Gutiérrez</t>
  </si>
  <si>
    <t>FCEJCE - CONTADURIA PÚBLICA</t>
  </si>
  <si>
    <t xml:space="preserve">Carlos Andrés oliveros aya </t>
  </si>
  <si>
    <t xml:space="preserve">Ciencias empresariales y jurídicas </t>
  </si>
  <si>
    <t xml:space="preserve">PEDRO ANDRÉS ORTEGA MOSSOS </t>
  </si>
  <si>
    <t>ESCUELA DE ARTES</t>
  </si>
  <si>
    <t>MARÍA ISABEL PÉREZ CAMACHO</t>
  </si>
  <si>
    <t>Henry Antonio Romero Leon</t>
  </si>
  <si>
    <t>Victoria Vallejo Q</t>
  </si>
  <si>
    <t>Mauricio Castaño Arcila</t>
  </si>
  <si>
    <t xml:space="preserve">Escuela de Salud, Cuidado y Protección Social - Programa de Trabajo Social </t>
  </si>
  <si>
    <t xml:space="preserve">Anyi Lorena bazurto </t>
  </si>
  <si>
    <t xml:space="preserve">Programa Admón de Empresas </t>
  </si>
  <si>
    <t>Juan Manuel Anzola</t>
  </si>
  <si>
    <t>Biología</t>
  </si>
  <si>
    <t xml:space="preserve">Brigette Yanith Patiño Montaña </t>
  </si>
  <si>
    <t xml:space="preserve">Facultad de Ingenieria y Ciencias Básicas </t>
  </si>
  <si>
    <t>Creación Literaria</t>
  </si>
  <si>
    <t>Diego Fernando Sanchez Beltran</t>
  </si>
  <si>
    <t>FCEJy CE</t>
  </si>
  <si>
    <t>Ingeniería y ciencias básicas</t>
  </si>
  <si>
    <t>Andrés Felipe Niño Sanabria</t>
  </si>
  <si>
    <t>Rebeca Lozano Tabares</t>
  </si>
  <si>
    <t>Ena Yuritze Barón López</t>
  </si>
  <si>
    <t>Programa de Marketing</t>
  </si>
  <si>
    <t>ESCUELA DE NEGOCIOS ENEX</t>
  </si>
  <si>
    <t xml:space="preserve">DIANA ESPERANZA OLIVEROS FORTICHE </t>
  </si>
  <si>
    <t xml:space="preserve">Comunicación Social y Periodismo </t>
  </si>
  <si>
    <t>Claudia Palacio Vasco</t>
  </si>
  <si>
    <t>FICB / Ingeniería Ambiental</t>
  </si>
  <si>
    <t>Camilo Andrés Pulido Laverde</t>
  </si>
  <si>
    <t xml:space="preserve">Miguel David Castillo Alarcon </t>
  </si>
  <si>
    <t xml:space="preserve">Administracion de empresas </t>
  </si>
  <si>
    <t xml:space="preserve">Oscar Javier Medina González </t>
  </si>
  <si>
    <t xml:space="preserve">Ingeniería ambiental </t>
  </si>
  <si>
    <t xml:space="preserve">Erika Torrado </t>
  </si>
  <si>
    <t>Facultad de ingeniería y ciencias basicas</t>
  </si>
  <si>
    <t>Industrial</t>
  </si>
  <si>
    <t>INGENERIA INDUSTRIAL- FICB</t>
  </si>
  <si>
    <t>Victoria Vallejo Quintero</t>
  </si>
  <si>
    <t>FICB - Ingeniería Ambiental</t>
  </si>
  <si>
    <t xml:space="preserve">Alejandro David Charris Florez </t>
  </si>
  <si>
    <t>Diego Fernando Sánchez Beltran</t>
  </si>
  <si>
    <t>MAURICIO CASTAÑO ARCILA</t>
  </si>
  <si>
    <t>Carlos Andrés oliveros aya</t>
  </si>
  <si>
    <t xml:space="preserve">Derecho </t>
  </si>
  <si>
    <t>CONSTANZA BEATRIZ PÉREZ MARTELO</t>
  </si>
  <si>
    <t>SANDRA CECILIA BAUTISTA RODRIGUEZ</t>
  </si>
  <si>
    <t xml:space="preserve">Ena Barón López </t>
  </si>
  <si>
    <t xml:space="preserve">Programa de Marketing </t>
  </si>
  <si>
    <t>FCEJYCE</t>
  </si>
  <si>
    <t>Facultad de Ingeniera y Ciencias Básicas</t>
  </si>
  <si>
    <t>PEDRO ANDRES ORTEGA MOSSOS</t>
  </si>
  <si>
    <t xml:space="preserve">Administracion de Empresas </t>
  </si>
  <si>
    <t>Oscar Javier Medina González</t>
  </si>
  <si>
    <t>Ingeniería Ambiental</t>
  </si>
  <si>
    <t>Admon de empresas</t>
  </si>
  <si>
    <t>FCEJ y CE</t>
  </si>
  <si>
    <t>mauricio castaño arcila</t>
  </si>
  <si>
    <t xml:space="preserve">Juan Manuel Méndez Guzmán </t>
  </si>
  <si>
    <t xml:space="preserve">Administracion Empresas </t>
  </si>
  <si>
    <t>FCEJCE - Contaduría Pública</t>
  </si>
  <si>
    <t>Comunicación Social y Periodismo</t>
  </si>
  <si>
    <t>Jorge Luis Yarce Tamayo</t>
  </si>
  <si>
    <t>Marketing</t>
  </si>
  <si>
    <t>Gian Andrei Gomez</t>
  </si>
  <si>
    <t>Faculta de ingenierias</t>
  </si>
  <si>
    <t>Escuela ENEX</t>
  </si>
  <si>
    <t xml:space="preserve">JHONATAN STEVEN  MORA RODRIGUEZ </t>
  </si>
  <si>
    <t xml:space="preserve">FACULTAD DE INGENIERÍA Y CIENCIAS BÁSICAS </t>
  </si>
  <si>
    <t xml:space="preserve">Luis Fernando Jiménez Monsalve </t>
  </si>
  <si>
    <t xml:space="preserve">Industrial </t>
  </si>
  <si>
    <t>Admón de empresas</t>
  </si>
  <si>
    <t xml:space="preserve">Sandra Cécilia Bautista Rodríguez </t>
  </si>
  <si>
    <t>Escuela de Estudios Transversales</t>
  </si>
  <si>
    <t>henry antonio romero leon</t>
  </si>
  <si>
    <t>Ciencias empresariales, juridicas y de comunicacion estratégica</t>
  </si>
  <si>
    <t>Facultad de Ingeniería y ciencias básicas</t>
  </si>
  <si>
    <t xml:space="preserve">Luís Fernando Jiménez Monsalve </t>
  </si>
  <si>
    <t xml:space="preserve">Facultad de ingeniería y ciencias basicas </t>
  </si>
  <si>
    <t xml:space="preserve">Dayana Calderón Manrique </t>
  </si>
  <si>
    <t xml:space="preserve">Biologia </t>
  </si>
  <si>
    <t>Erika Torrado Briceño</t>
  </si>
  <si>
    <t>Facultad e Ingeniería y Ciencias Básicas</t>
  </si>
  <si>
    <t>Facultad de ingeniería y ciencias básicas</t>
  </si>
  <si>
    <t xml:space="preserve">MARÍA ISABEL PÉREZ </t>
  </si>
  <si>
    <t>FICB - Ingenieria Ambiental</t>
  </si>
  <si>
    <t xml:space="preserve">FCEJCE-Administración de empresas </t>
  </si>
  <si>
    <t>OSCAR JAVIER MEDINA GONZÁLEZ</t>
  </si>
  <si>
    <t xml:space="preserve">Facultad de ciencia Empresariales, Jurídicas y de Comunicación Estratégica. </t>
  </si>
  <si>
    <t xml:space="preserve">Angie Lorena Bazurto </t>
  </si>
  <si>
    <t xml:space="preserve">Admón de empresas </t>
  </si>
  <si>
    <t>Ena Barón López</t>
  </si>
  <si>
    <t xml:space="preserve">Jorge Luis Yarce Tamayo </t>
  </si>
  <si>
    <t xml:space="preserve">Monica Alejandra Rodríguez Aristizábal </t>
  </si>
  <si>
    <t>FiCB</t>
  </si>
  <si>
    <t>FCEyCE</t>
  </si>
  <si>
    <t>FICB - Dpto Ingenieria Ambiental</t>
  </si>
  <si>
    <t xml:space="preserve">FCEJCE-Administración de Empresas </t>
  </si>
  <si>
    <t>Ficb</t>
  </si>
  <si>
    <t>ANYI LORENA BAZURTO LOZADA</t>
  </si>
  <si>
    <t xml:space="preserve">ADMÓN D EEMPRESAS </t>
  </si>
  <si>
    <t>hENRY aNTONIO rOMERO LEON</t>
  </si>
  <si>
    <t>FcejYCE</t>
  </si>
  <si>
    <t>FICB / Jorge Enrique Muñoz Barragán</t>
  </si>
  <si>
    <t xml:space="preserve">Ingeniería y Ciencias Básicas </t>
  </si>
  <si>
    <t xml:space="preserve">FICB </t>
  </si>
  <si>
    <t>Erika Torrado</t>
  </si>
  <si>
    <t>Andres Felipe Niño Sanabria</t>
  </si>
  <si>
    <t>FICB - Dpto. Ingeniería Ambiental</t>
  </si>
  <si>
    <t>Facultad de ingeniería y Ciencias Básicas</t>
  </si>
  <si>
    <t xml:space="preserve">Facultad de Ingeniera y Ciencias Básicas </t>
  </si>
  <si>
    <t>Luis Fernando JImenez Monsalve</t>
  </si>
  <si>
    <t>Luis Fernando Jimenez M</t>
  </si>
  <si>
    <t xml:space="preserve">Víctor Felipe Vallejo Rodríguez </t>
  </si>
  <si>
    <t xml:space="preserve">Sandra Cecilia Bautista Rodríguez </t>
  </si>
  <si>
    <t>Ingeniería y Ciencias Básicas</t>
  </si>
  <si>
    <t>creación literaria</t>
  </si>
  <si>
    <t>Facultad de Ciencias Empresariales, Jurídicas y de Comunicación Estratégica.</t>
  </si>
  <si>
    <t>FCEJCE-Contaduría Pública</t>
  </si>
  <si>
    <t xml:space="preserve">Anyi Lorena bazurto Lozada </t>
  </si>
  <si>
    <t xml:space="preserve">Admón ee empresas </t>
  </si>
  <si>
    <t>ANYI LORENA BAZURTO L</t>
  </si>
  <si>
    <t>MARIA ISABEL PÉREZ CAMACHO</t>
  </si>
  <si>
    <t>Facultad de Ingenieria y Ciencias Basicas</t>
  </si>
  <si>
    <t>FACULTAD DE INGENIERIA</t>
  </si>
  <si>
    <t xml:space="preserve">Facultad de Ciencias Básicas </t>
  </si>
  <si>
    <t>Facultad de Ingeniería y Ciencias Básicas.</t>
  </si>
  <si>
    <t>Comunicacion Social y Periodismo</t>
  </si>
  <si>
    <t xml:space="preserve">Maritza Páez Silva </t>
  </si>
  <si>
    <t>FOCB</t>
  </si>
  <si>
    <t>Iris Leticia Fernandez Marin</t>
  </si>
  <si>
    <t>derecho</t>
  </si>
  <si>
    <t>Henry Antonio Romero LEón</t>
  </si>
  <si>
    <t xml:space="preserve">ANYI LORENA BAZURTO LOZADA </t>
  </si>
  <si>
    <t>Diana Oliveros Fortiche</t>
  </si>
  <si>
    <t>FICB - Dpto Ingeniería Ambiental</t>
  </si>
  <si>
    <t>Diego Fernando Sanchez beltran</t>
  </si>
  <si>
    <t>Dayana Calderon</t>
  </si>
  <si>
    <t>Biologia</t>
  </si>
  <si>
    <t>MARIA ISABEL PEREZ CAMACHO</t>
  </si>
  <si>
    <t xml:space="preserve">Angie Lorena bazurto Lozada </t>
  </si>
  <si>
    <t>Registro</t>
  </si>
  <si>
    <t>Facultad</t>
  </si>
  <si>
    <t>Nombre</t>
  </si>
  <si>
    <t>juan manuel</t>
  </si>
  <si>
    <t>anzola lagos</t>
  </si>
  <si>
    <t>fernando</t>
  </si>
  <si>
    <t>ariza cubides</t>
  </si>
  <si>
    <t>nidya ivett</t>
  </si>
  <si>
    <t>avella mariño</t>
  </si>
  <si>
    <t>ena yuritze</t>
  </si>
  <si>
    <t>baron lopez</t>
  </si>
  <si>
    <t>Sandra Cecilia</t>
  </si>
  <si>
    <t>Bautista Rodriguez</t>
  </si>
  <si>
    <t>ANGIE LORENA</t>
  </si>
  <si>
    <t>BAZURTO LOZADA</t>
  </si>
  <si>
    <t>jenny paola</t>
  </si>
  <si>
    <t>beltran beltran</t>
  </si>
  <si>
    <t>elias</t>
  </si>
  <si>
    <t>buitrago bolivar</t>
  </si>
  <si>
    <t>dayana</t>
  </si>
  <si>
    <t>calderon manrique</t>
  </si>
  <si>
    <t>mauricio</t>
  </si>
  <si>
    <t>castaño arcila</t>
  </si>
  <si>
    <t>miguel david</t>
  </si>
  <si>
    <t>castillo alarcon</t>
  </si>
  <si>
    <t>oscar mauricio</t>
  </si>
  <si>
    <t>cepeda valero</t>
  </si>
  <si>
    <t>alejandro david</t>
  </si>
  <si>
    <t>charris florez</t>
  </si>
  <si>
    <t>German Alberto</t>
  </si>
  <si>
    <t>Corredor Marin</t>
  </si>
  <si>
    <t>LUIS EDUARDO</t>
  </si>
  <si>
    <t>DAZA GIRALDO</t>
  </si>
  <si>
    <t>iris leticia</t>
  </si>
  <si>
    <t>fernandez marin</t>
  </si>
  <si>
    <t>azeneth</t>
  </si>
  <si>
    <t>florez gutierrez</t>
  </si>
  <si>
    <t>cesar augusto</t>
  </si>
  <si>
    <t>giraldo duque</t>
  </si>
  <si>
    <t>gian andrei</t>
  </si>
  <si>
    <t>gomez celis</t>
  </si>
  <si>
    <t>HERNAN DARIO</t>
  </si>
  <si>
    <t>GRANDA</t>
  </si>
  <si>
    <t>MARÍA PAZ</t>
  </si>
  <si>
    <t>GUERRERO FLÓREZ</t>
  </si>
  <si>
    <t>luis fernando</t>
  </si>
  <si>
    <t>jimenez monsalve</t>
  </si>
  <si>
    <t>JONNATHAN</t>
  </si>
  <si>
    <t>LÓPEZ HURTADO</t>
  </si>
  <si>
    <t>rebeca</t>
  </si>
  <si>
    <t>lozano tabares</t>
  </si>
  <si>
    <t>David</t>
  </si>
  <si>
    <t>Macias Mora</t>
  </si>
  <si>
    <t>OSCAR JAVIER</t>
  </si>
  <si>
    <t>MEDINA GONZÁLEZ</t>
  </si>
  <si>
    <t>jose manuel</t>
  </si>
  <si>
    <t>mora alvarez</t>
  </si>
  <si>
    <t>jhonatan steven</t>
  </si>
  <si>
    <t>mora rodriguez</t>
  </si>
  <si>
    <t>angie tatiana</t>
  </si>
  <si>
    <t>moreno rodriguez</t>
  </si>
  <si>
    <t>william daniel</t>
  </si>
  <si>
    <t>moscoso barrera</t>
  </si>
  <si>
    <t>jorge enrique</t>
  </si>
  <si>
    <t>muñoz barragan</t>
  </si>
  <si>
    <t>andres felipe</t>
  </si>
  <si>
    <t>niño sanabria</t>
  </si>
  <si>
    <t>CARLOS ANDRÉS</t>
  </si>
  <si>
    <t>OLIVEROS AYA</t>
  </si>
  <si>
    <t>Diana Esperanza</t>
  </si>
  <si>
    <t>Oliveros Fortiche</t>
  </si>
  <si>
    <t>edgar stefan</t>
  </si>
  <si>
    <t>orellanos chaparro</t>
  </si>
  <si>
    <t>pedro andres</t>
  </si>
  <si>
    <t>ortega mossos</t>
  </si>
  <si>
    <t>maritza</t>
  </si>
  <si>
    <t>paez silva</t>
  </si>
  <si>
    <t>claudia</t>
  </si>
  <si>
    <t>palacio vasco</t>
  </si>
  <si>
    <t>BRIGETTE YANITH</t>
  </si>
  <si>
    <t>PATIÑO MONTAÑA</t>
  </si>
  <si>
    <t>maria isabel</t>
  </si>
  <si>
    <t>perez camacho</t>
  </si>
  <si>
    <t>Constanza Beatriz</t>
  </si>
  <si>
    <t>Perez Martelo</t>
  </si>
  <si>
    <t>ferney alexander</t>
  </si>
  <si>
    <t>perez parada</t>
  </si>
  <si>
    <t>sandra milena</t>
  </si>
  <si>
    <t>pulido cuervo</t>
  </si>
  <si>
    <t>MONICA ALEJANDRA</t>
  </si>
  <si>
    <t>RODRIGUEZ</t>
  </si>
  <si>
    <t>henry antonio</t>
  </si>
  <si>
    <t>romero leon</t>
  </si>
  <si>
    <t>diego fernando</t>
  </si>
  <si>
    <t>sanchez beltran</t>
  </si>
  <si>
    <t>DIEGO ALFONSO</t>
  </si>
  <si>
    <t>SÁNCHEZ MORA</t>
  </si>
  <si>
    <t>Erika Alexandra</t>
  </si>
  <si>
    <t>Torrado Briceño</t>
  </si>
  <si>
    <t>Cuenta Institucional</t>
  </si>
  <si>
    <t>Universidad Central</t>
  </si>
  <si>
    <t>VICTORIA EUGENIA</t>
  </si>
  <si>
    <t>VALLEJO QUINTERO</t>
  </si>
  <si>
    <t>VÍCTOR FELIPE</t>
  </si>
  <si>
    <t>VALLEJO RODRÍGUEZ</t>
  </si>
  <si>
    <t>Jimmy Alexander</t>
  </si>
  <si>
    <t>Vega Florez</t>
  </si>
  <si>
    <t>JORGE LUIS</t>
  </si>
  <si>
    <t>YARCE TAMAYO</t>
  </si>
  <si>
    <t>Apellido</t>
  </si>
  <si>
    <t>Día (serial)</t>
  </si>
  <si>
    <t>Inscrito (plataforma)</t>
  </si>
  <si>
    <t>andres felipe niño sanabria</t>
  </si>
  <si>
    <t>jhonatan steven mora rodriguez</t>
  </si>
  <si>
    <t>dayana calderon manrique</t>
  </si>
  <si>
    <t>Jimmy Alexander Vega Florez</t>
  </si>
  <si>
    <t>fernando ariza cubides</t>
  </si>
  <si>
    <t>azeneth florez gutierrez</t>
  </si>
  <si>
    <t>JONNATHAN LÓPEZ HURTADO</t>
  </si>
  <si>
    <t>luis fernando jimenez monsalve</t>
  </si>
  <si>
    <t>jorge enrique muñoz barragan</t>
  </si>
  <si>
    <t>miguel david castillo alarcon</t>
  </si>
  <si>
    <t>VÍCTOR FELIPE VALLEJO RODRÍGUEZ</t>
  </si>
  <si>
    <t>alejandro david charris florez</t>
  </si>
  <si>
    <t>Constanza Beatriz Perez Martelo</t>
  </si>
  <si>
    <t>MONICA ALEJANDRA RODRIGUEZ</t>
  </si>
  <si>
    <t>maria isabel perez camacho</t>
  </si>
  <si>
    <t>elias buitrago bolivar</t>
  </si>
  <si>
    <t>Sandra Cecilia Bautista Rodriguez</t>
  </si>
  <si>
    <t>ANGIE LORENA BAZURTO LOZADA</t>
  </si>
  <si>
    <t>VICTORIA EUGENIA VALLEJO QUINTERO</t>
  </si>
  <si>
    <t>BRIGETTE YANITH PATIÑO MONTAÑA</t>
  </si>
  <si>
    <t>juan manuel anzola lagos</t>
  </si>
  <si>
    <t>MARÍA PAZ GUERRERO FLÓREZ</t>
  </si>
  <si>
    <t>iris leticia fernandez marin</t>
  </si>
  <si>
    <t>NO INSCRITO: Camilo Andres Pulido Laverde</t>
  </si>
  <si>
    <t>jose manuel mora alvarez</t>
  </si>
  <si>
    <t>nidya ivett avella mariño</t>
  </si>
  <si>
    <t>rebeca lozano tabares</t>
  </si>
  <si>
    <t>oscar mauricio cepeda valero</t>
  </si>
  <si>
    <t>maritza paez silva</t>
  </si>
  <si>
    <t>william daniel moscoso barrera</t>
  </si>
  <si>
    <t>CARLOS ANDRÉS OLIVEROS AYA</t>
  </si>
  <si>
    <t>pedro andres ortega mossos</t>
  </si>
  <si>
    <t>diego fernando sanchez beltran</t>
  </si>
  <si>
    <t>ena yuritze baron lopez</t>
  </si>
  <si>
    <t>claudia palacio vasco</t>
  </si>
  <si>
    <t>Erika Alexandra Torrado Briceño</t>
  </si>
  <si>
    <t>JORGE LUIS YARCE TAMAYO</t>
  </si>
  <si>
    <t>gian andrei gomez celis</t>
  </si>
  <si>
    <t>Análisis de Asistencia — 10 días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</si>
  <si>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</si>
  <si>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</si>
  <si>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</si>
  <si>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</si>
  <si>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</si>
  <si>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</si>
  <si>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</si>
  <si>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</si>
  <si>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</si>
  <si>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</si>
  <si>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Inscrito en plataforma</t>
  </si>
  <si>
    <t>Total</t>
  </si>
  <si>
    <t>Asistencias</t>
  </si>
  <si>
    <t>Fallas</t>
  </si>
  <si>
    <t>jenny paola beltran beltran</t>
  </si>
  <si>
    <t>German Alberto Corredor Marin</t>
  </si>
  <si>
    <t>LUIS EDUARDO DAZA GIRALDO</t>
  </si>
  <si>
    <t>cesar augusto giraldo duque</t>
  </si>
  <si>
    <t>HERNAN DARIO GRANDA</t>
  </si>
  <si>
    <t>angie tatiana moreno rodriguez</t>
  </si>
  <si>
    <t>edgar stefan orellanos chaparro</t>
  </si>
  <si>
    <t>ferney alexander perez parada</t>
  </si>
  <si>
    <t>sandra milena pulido cuervo</t>
  </si>
  <si>
    <t>DIEGO ALFONSO SÁNCHEZ MORA</t>
  </si>
  <si>
    <t>Asistentes NO inscritos en plataforma</t>
  </si>
  <si>
    <t>NO INSCRITO: Juan Manuel Méndez Guzmán</t>
  </si>
  <si>
    <t>No.</t>
  </si>
  <si>
    <t>DOCENTE</t>
  </si>
  <si>
    <t>Grupo</t>
  </si>
  <si>
    <t>Monica Alejandra Rodriguez</t>
  </si>
  <si>
    <t>María Paz Guerrero Flórez</t>
  </si>
  <si>
    <t>Angie Lorena Bazurto Lozada</t>
  </si>
  <si>
    <t>Azeneth Florez Gutierrez</t>
  </si>
  <si>
    <t>Victoria Eugenia Vallejo Quintero</t>
  </si>
  <si>
    <t>Ena Yuritze Baron Lopez</t>
  </si>
  <si>
    <t>Méndez Guzmán, Juan Manuel</t>
  </si>
  <si>
    <t>Miguel David Castillo Alarcon</t>
  </si>
  <si>
    <t>Jhonatan Steven Mora Rodriguez</t>
  </si>
  <si>
    <t>Pedro Andres Ortega Mossos</t>
  </si>
  <si>
    <t>Nidya Ivett Avella Mariño</t>
  </si>
  <si>
    <t>Carlos Andrés Oliveros Aya</t>
  </si>
  <si>
    <t>Jorge Enrique Muñoz Barragan</t>
  </si>
  <si>
    <t>Maria Isabel Perez Camacho</t>
  </si>
  <si>
    <t>Dayana Calderon Manrique</t>
  </si>
  <si>
    <t>Maritza Paez Silva</t>
  </si>
  <si>
    <t>William Daniel Moscoso Barrera</t>
  </si>
  <si>
    <t>Angie Tatiana Moreno Rodriguez</t>
  </si>
  <si>
    <t>Cesar Augusto Giraldo Duque</t>
  </si>
  <si>
    <t>Diego Alfonso Sánchez Mora</t>
  </si>
  <si>
    <t>Edgar Stefan Orellanos Chaparro</t>
  </si>
  <si>
    <t>Ferney Alexander Perez Parada</t>
  </si>
  <si>
    <t>Gian Andrei Gomez Celis</t>
  </si>
  <si>
    <t>Hernan Dario Granda</t>
  </si>
  <si>
    <t>Jenny Paola Beltran Beltran</t>
  </si>
  <si>
    <t>Jose Manuel Mora Alvarez</t>
  </si>
  <si>
    <t>Juan Manuel Anzola Lagos</t>
  </si>
  <si>
    <t>Luis Eduardo Daza Giraldo</t>
  </si>
  <si>
    <t>Pulido Laverde, Camilo Andrés</t>
  </si>
  <si>
    <t>Sandra Milena Pulido Cuervo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</si>
</sst>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dd/mm/yyyy"/>
  </numFmts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0"/>
      <color rgb="FFFFFFFF"/>
      <name val="Arial"/>
      <family val="2"/>
      <scheme val="minor"/>
    </font>
    <font>
      <b/>
      <sz val="10"/>
      <color rgb="FFC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164" fontId="1" fillId="0" borderId="3" xfId="0" applyNumberFormat="1" applyFont="1" applyBorder="1" applyAlignment="1">
      <alignment vertical="center"/>
    </xf>
    <xf numFmtId="164" fontId="1" fillId="0" borderId="4" xfId="0" applyNumberFormat="1" applyFont="1" applyBorder="1" applyAlignment="1">
      <alignment vertical="center"/>
    </xf>
    <xf numFmtId="0" fontId="0" fillId="0" borderId="1" xfId="0" applyBorder="1"/>
    <xf numFmtId="0" fontId="4" fillId="0" borderId="0" xfId="0" applyFont="1"/>
    <xf numFmtId="0" fontId="5" fillId="3" borderId="0" xfId="0" applyFont="1" applyFill="1" applyAlignment="1">
      <alignment horizontal="center"/>
    </xf>
    <xf numFmtId="165" fontId="5" fillId="3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left"/>
    </xf>
    <xf numFmtId="0" fontId="6" fillId="0" borderId="0" xfId="0" applyFont="1"/>
    <xf numFmtId="0" fontId="3" fillId="0" borderId="0" xfId="1" applyFont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0" xfId="1"/>
    <xf numFmtId="0" fontId="2" fillId="0" borderId="1" xfId="1" applyBorder="1" applyAlignment="1">
      <alignment horizontal="center"/>
    </xf>
    <xf numFmtId="0" fontId="2" fillId="2" borderId="1" xfId="1" applyFill="1" applyBorder="1"/>
    <xf numFmtId="0" fontId="2" fillId="0" borderId="1" xfId="1" applyBorder="1"/>
    <xf numFmtId="0" fontId="2" fillId="4" borderId="1" xfId="1" applyFill="1" applyBorder="1"/>
    <xf numFmtId="0" fontId="2" fillId="4" borderId="1" xfId="1" applyFill="1" applyBorder="1" applyAlignment="1">
      <alignment horizontal="center"/>
    </xf>
    <xf numFmtId="0" fontId="2" fillId="0" borderId="0" xfId="1" applyAlignment="1">
      <alignment horizontal="center"/>
    </xf>
    <xf numFmtId="0" fontId="1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5" fontId="0" fillId="2" borderId="1" xfId="0" applyNumberForma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/>
    </xf>
    <xf numFmtId="1" fontId="3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CD03E862-9F87-427A-9B96-985B2F4F7545}"/>
  </cellStyles>
  <dxfs count="41"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ill>
        <patternFill>
          <bgColor rgb="FFFF0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theme="0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dd/mm/yyyy"/>
      <fill>
        <patternFill>
          <fgColor indexed="64"/>
          <bgColor theme="0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 dxfId="37"/>
      <tableStyleElement type="headerRow" dxfId="40"/>
      <tableStyleElement type="firstRowStripe" dxfId="39"/>
      <tableStyleElement type="secondRowStripe" dxfId="3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E363" headerRowDxfId="27" dataDxfId="25" totalsRowDxfId="26" headerRowBorderDxfId="35" tableBorderDxfId="36">
  <tableColumns count="5">
    <tableColumn id="1" xr3:uid="{00000000-0010-0000-0000-000001000000}" name="Registro" dataDxfId="32"/>
    <tableColumn id="2" xr3:uid="{00000000-0010-0000-0000-000002000000}" name="Nombre Completo" dataDxfId="31"/>
    <tableColumn id="4" xr3:uid="{00000000-0010-0000-0000-000004000000}" name="Facultad" dataDxfId="30"/>
    <tableColumn id="3" xr3:uid="{030C4B22-3797-489A-9F15-D03950945D90}" name="Día (serial)" dataDxfId="29" totalsRowDxfId="34"/>
    <tableColumn id="5" xr3:uid="{2991F386-4666-4140-B06D-56C768E6C0AC}" name="Inscrito (plataforma)" dataDxfId="28" totalsRowDxfId="33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62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F81DBD8-B11C-4CB6-AE2F-F378E03C7674}">
  <we:reference id="wa200009404" version="1.0.0.8" store="es-ES" storeType="OMEX"/>
  <we:alternateReferences>
    <we:reference id="WA200009404" version="1.0.0.8" store="" storeType="OMEX"/>
  </we:alternateReferences>
  <we:properties>
    <we:property name="claude.fileId" value="&quot;1a937cb8-1f4a-4e9b-b45b-3b5f8c85f97a&quot;"/>
  </we:properties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F156A-A4C6-4802-809D-793BC1C451EC}">
  <dimension ref="A1:M59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23" sqref="D23"/>
    </sheetView>
  </sheetViews>
  <sheetFormatPr baseColWidth="10" defaultRowHeight="12.75" x14ac:dyDescent="0.2"/>
  <cols>
    <col min="1" max="1" width="43.85546875" customWidth="1"/>
    <col min="2" max="13" width="11" customWidth="1"/>
  </cols>
  <sheetData>
    <row r="1" spans="1:13" ht="18" x14ac:dyDescent="0.25">
      <c r="A1" s="6" t="s">
        <v>359</v>
      </c>
    </row>
    <row r="3" spans="1:13" x14ac:dyDescent="0.2">
      <c r="A3" s="9"/>
      <c r="B3" s="7" t="s">
        <v>360</v>
      </c>
      <c r="C3" s="7" t="s">
        <v>361</v>
      </c>
      <c r="D3" s="7" t="s">
        <v>362</v>
      </c>
      <c r="E3" s="7" t="s">
        <v>363</v>
      </c>
      <c r="F3" s="7" t="s">
        <v>364</v>
      </c>
      <c r="G3" s="7" t="s">
        <v>365</v>
      </c>
      <c r="H3" s="7" t="s">
        <v>366</v>
      </c>
      <c r="I3" s="7" t="s">
        <v>367</v>
      </c>
      <c r="J3" s="7" t="s">
        <v>368</v>
      </c>
      <c r="K3" s="7" t="s">
        <v>369</v>
      </c>
      <c r="L3" s="7" t="s">
        <v>371</v>
      </c>
      <c r="M3" s="7" t="s">
        <v>371</v>
      </c>
    </row>
    <row r="4" spans="1:13" x14ac:dyDescent="0.2">
      <c r="A4" s="9" t="s">
        <v>370</v>
      </c>
      <c r="B4" s="8">
        <v>46175</v>
      </c>
      <c r="C4" s="8">
        <v>46176</v>
      </c>
      <c r="D4" s="8">
        <v>46177</v>
      </c>
      <c r="E4" s="8">
        <v>46182</v>
      </c>
      <c r="F4" s="8">
        <v>46189</v>
      </c>
      <c r="G4" s="8">
        <v>46190</v>
      </c>
      <c r="H4" s="8">
        <v>46191</v>
      </c>
      <c r="I4" s="8">
        <v>46196</v>
      </c>
      <c r="J4" s="8">
        <v>46197</v>
      </c>
      <c r="K4" s="8">
        <v>46198</v>
      </c>
      <c r="L4" s="7" t="s">
        <v>372</v>
      </c>
      <c r="M4" s="7" t="s">
        <v>373</v>
      </c>
    </row>
    <row r="5" spans="1:13" x14ac:dyDescent="0.2">
      <c r="A5" t="s">
        <v>341</v>
      </c>
      <c r="B5" s="1">
        <f>IF(COUNTIFS('Respuestas de formulario 1'!$D:$D,B$4,'Respuestas de formulario 1'!$E:$E,$A5)&gt;0,1,0)</f>
        <v>0</v>
      </c>
      <c r="C5" s="1">
        <f>IF(COUNTIFS('Respuestas de formulario 1'!$D:$D,C$4,'Respuestas de formulario 1'!$E:$E,$A5)&gt;0,1,0)</f>
        <v>1</v>
      </c>
      <c r="D5" s="1">
        <f>IF(COUNTIFS('Respuestas de formulario 1'!$D:$D,D$4,'Respuestas de formulario 1'!$E:$E,$A5)&gt;0,1,0)</f>
        <v>0</v>
      </c>
      <c r="E5" s="1">
        <f>IF(COUNTIFS('Respuestas de formulario 1'!$D:$D,E$4,'Respuestas de formulario 1'!$E:$E,$A5)&gt;0,1,0)</f>
        <v>0</v>
      </c>
      <c r="F5" s="1">
        <f>IF(COUNTIFS('Respuestas de formulario 1'!$D:$D,F$4,'Respuestas de formulario 1'!$E:$E,$A5)&gt;0,1,0)</f>
        <v>0</v>
      </c>
      <c r="G5" s="1">
        <f>IF(COUNTIFS('Respuestas de formulario 1'!$D:$D,G$4,'Respuestas de formulario 1'!$E:$E,$A5)&gt;0,1,0)</f>
        <v>0</v>
      </c>
      <c r="H5" s="1">
        <f>IF(COUNTIFS('Respuestas de formulario 1'!$D:$D,H$4,'Respuestas de formulario 1'!$E:$E,$A5)&gt;0,1,0)</f>
        <v>0</v>
      </c>
      <c r="I5" s="1">
        <f>IF(COUNTIFS('Respuestas de formulario 1'!$D:$D,I$4,'Respuestas de formulario 1'!$E:$E,$A5)&gt;0,1,0)</f>
        <v>0</v>
      </c>
      <c r="J5" s="1">
        <f>IF(COUNTIFS('Respuestas de formulario 1'!$D:$D,J$4,'Respuestas de formulario 1'!$E:$E,$A5)&gt;0,1,0)</f>
        <v>0</v>
      </c>
      <c r="K5" s="1">
        <f>IF(COUNTIFS('Respuestas de formulario 1'!$D:$D,K$4,'Respuestas de formulario 1'!$E:$E,$A5)&gt;0,1,0)</f>
        <v>0</v>
      </c>
      <c r="L5" s="29">
        <f>SUM(B5:K5)</f>
        <v>1</v>
      </c>
      <c r="M5" s="29">
        <f>COUNT($B$4:$K$4)-L5</f>
        <v>9</v>
      </c>
    </row>
    <row r="6" spans="1:13" x14ac:dyDescent="0.2">
      <c r="A6" t="s">
        <v>325</v>
      </c>
      <c r="B6" s="1">
        <f>IF(COUNTIFS('Respuestas de formulario 1'!$D:$D,B$4,'Respuestas de formulario 1'!$E:$E,$A6)&gt;0,1,0)</f>
        <v>1</v>
      </c>
      <c r="C6" s="1">
        <f>IF(COUNTIFS('Respuestas de formulario 1'!$D:$D,C$4,'Respuestas de formulario 1'!$E:$E,$A6)&gt;0,1,0)</f>
        <v>1</v>
      </c>
      <c r="D6" s="1">
        <f>IF(COUNTIFS('Respuestas de formulario 1'!$D:$D,D$4,'Respuestas de formulario 1'!$E:$E,$A6)&gt;0,1,0)</f>
        <v>1</v>
      </c>
      <c r="E6" s="1">
        <f>IF(COUNTIFS('Respuestas de formulario 1'!$D:$D,E$4,'Respuestas de formulario 1'!$E:$E,$A6)&gt;0,1,0)</f>
        <v>1</v>
      </c>
      <c r="F6" s="1">
        <f>IF(COUNTIFS('Respuestas de formulario 1'!$D:$D,F$4,'Respuestas de formulario 1'!$E:$E,$A6)&gt;0,1,0)</f>
        <v>1</v>
      </c>
      <c r="G6" s="1">
        <f>IF(COUNTIFS('Respuestas de formulario 1'!$D:$D,G$4,'Respuestas de formulario 1'!$E:$E,$A6)&gt;0,1,0)</f>
        <v>1</v>
      </c>
      <c r="H6" s="1">
        <f>IF(COUNTIFS('Respuestas de formulario 1'!$D:$D,H$4,'Respuestas de formulario 1'!$E:$E,$A6)&gt;0,1,0)</f>
        <v>1</v>
      </c>
      <c r="I6" s="1">
        <f>IF(COUNTIFS('Respuestas de formulario 1'!$D:$D,I$4,'Respuestas de formulario 1'!$E:$E,$A6)&gt;0,1,0)</f>
        <v>0</v>
      </c>
      <c r="J6" s="1">
        <f>IF(COUNTIFS('Respuestas de formulario 1'!$D:$D,J$4,'Respuestas de formulario 1'!$E:$E,$A6)&gt;0,1,0)</f>
        <v>1</v>
      </c>
      <c r="K6" s="1">
        <f>IF(COUNTIFS('Respuestas de formulario 1'!$D:$D,K$4,'Respuestas de formulario 1'!$E:$E,$A6)&gt;0,1,0)</f>
        <v>1</v>
      </c>
      <c r="L6" s="29">
        <f t="shared" ref="L6:L56" si="0">SUM(B6:K6)</f>
        <v>9</v>
      </c>
      <c r="M6" s="29">
        <f t="shared" ref="M6:M56" si="1">COUNT($B$4:$K$4)-L6</f>
        <v>1</v>
      </c>
    </row>
    <row r="7" spans="1:13" x14ac:dyDescent="0.2">
      <c r="A7" t="s">
        <v>346</v>
      </c>
      <c r="B7" s="1">
        <f>IF(COUNTIFS('Respuestas de formulario 1'!$D:$D,B$4,'Respuestas de formulario 1'!$E:$E,$A7)&gt;0,1,0)</f>
        <v>1</v>
      </c>
      <c r="C7" s="1">
        <f>IF(COUNTIFS('Respuestas de formulario 1'!$D:$D,C$4,'Respuestas de formulario 1'!$E:$E,$A7)&gt;0,1,0)</f>
        <v>1</v>
      </c>
      <c r="D7" s="1">
        <f>IF(COUNTIFS('Respuestas de formulario 1'!$D:$D,D$4,'Respuestas de formulario 1'!$E:$E,$A7)&gt;0,1,0)</f>
        <v>1</v>
      </c>
      <c r="E7" s="1">
        <f>IF(COUNTIFS('Respuestas de formulario 1'!$D:$D,E$4,'Respuestas de formulario 1'!$E:$E,$A7)&gt;0,1,0)</f>
        <v>1</v>
      </c>
      <c r="F7" s="1">
        <f>IF(COUNTIFS('Respuestas de formulario 1'!$D:$D,F$4,'Respuestas de formulario 1'!$E:$E,$A7)&gt;0,1,0)</f>
        <v>0</v>
      </c>
      <c r="G7" s="1">
        <f>IF(COUNTIFS('Respuestas de formulario 1'!$D:$D,G$4,'Respuestas de formulario 1'!$E:$E,$A7)&gt;0,1,0)</f>
        <v>0</v>
      </c>
      <c r="H7" s="1">
        <f>IF(COUNTIFS('Respuestas de formulario 1'!$D:$D,H$4,'Respuestas de formulario 1'!$E:$E,$A7)&gt;0,1,0)</f>
        <v>0</v>
      </c>
      <c r="I7" s="1">
        <f>IF(COUNTIFS('Respuestas de formulario 1'!$D:$D,I$4,'Respuestas de formulario 1'!$E:$E,$A7)&gt;0,1,0)</f>
        <v>1</v>
      </c>
      <c r="J7" s="1">
        <f>IF(COUNTIFS('Respuestas de formulario 1'!$D:$D,J$4,'Respuestas de formulario 1'!$E:$E,$A7)&gt;0,1,0)</f>
        <v>1</v>
      </c>
      <c r="K7" s="1">
        <f>IF(COUNTIFS('Respuestas de formulario 1'!$D:$D,K$4,'Respuestas de formulario 1'!$E:$E,$A7)&gt;0,1,0)</f>
        <v>1</v>
      </c>
      <c r="L7" s="29">
        <f t="shared" si="0"/>
        <v>7</v>
      </c>
      <c r="M7" s="29">
        <f t="shared" si="1"/>
        <v>3</v>
      </c>
    </row>
    <row r="8" spans="1:13" x14ac:dyDescent="0.2">
      <c r="A8" t="s">
        <v>354</v>
      </c>
      <c r="B8" s="1">
        <f>IF(COUNTIFS('Respuestas de formulario 1'!$D:$D,B$4,'Respuestas de formulario 1'!$E:$E,$A8)&gt;0,1,0)</f>
        <v>0</v>
      </c>
      <c r="C8" s="1">
        <f>IF(COUNTIFS('Respuestas de formulario 1'!$D:$D,C$4,'Respuestas de formulario 1'!$E:$E,$A8)&gt;0,1,0)</f>
        <v>1</v>
      </c>
      <c r="D8" s="1">
        <f>IF(COUNTIFS('Respuestas de formulario 1'!$D:$D,D$4,'Respuestas de formulario 1'!$E:$E,$A8)&gt;0,1,0)</f>
        <v>1</v>
      </c>
      <c r="E8" s="1">
        <f>IF(COUNTIFS('Respuestas de formulario 1'!$D:$D,E$4,'Respuestas de formulario 1'!$E:$E,$A8)&gt;0,1,0)</f>
        <v>1</v>
      </c>
      <c r="F8" s="1">
        <f>IF(COUNTIFS('Respuestas de formulario 1'!$D:$D,F$4,'Respuestas de formulario 1'!$E:$E,$A8)&gt;0,1,0)</f>
        <v>1</v>
      </c>
      <c r="G8" s="1">
        <f>IF(COUNTIFS('Respuestas de formulario 1'!$D:$D,G$4,'Respuestas de formulario 1'!$E:$E,$A8)&gt;0,1,0)</f>
        <v>1</v>
      </c>
      <c r="H8" s="1">
        <f>IF(COUNTIFS('Respuestas de formulario 1'!$D:$D,H$4,'Respuestas de formulario 1'!$E:$E,$A8)&gt;0,1,0)</f>
        <v>1</v>
      </c>
      <c r="I8" s="1">
        <f>IF(COUNTIFS('Respuestas de formulario 1'!$D:$D,I$4,'Respuestas de formulario 1'!$E:$E,$A8)&gt;0,1,0)</f>
        <v>1</v>
      </c>
      <c r="J8" s="1">
        <f>IF(COUNTIFS('Respuestas de formulario 1'!$D:$D,J$4,'Respuestas de formulario 1'!$E:$E,$A8)&gt;0,1,0)</f>
        <v>0</v>
      </c>
      <c r="K8" s="1">
        <f>IF(COUNTIFS('Respuestas de formulario 1'!$D:$D,K$4,'Respuestas de formulario 1'!$E:$E,$A8)&gt;0,1,0)</f>
        <v>1</v>
      </c>
      <c r="L8" s="29">
        <f t="shared" si="0"/>
        <v>8</v>
      </c>
      <c r="M8" s="29">
        <f t="shared" si="1"/>
        <v>2</v>
      </c>
    </row>
    <row r="9" spans="1:13" x14ac:dyDescent="0.2">
      <c r="A9" t="s">
        <v>337</v>
      </c>
      <c r="B9" s="1">
        <f>IF(COUNTIFS('Respuestas de formulario 1'!$D:$D,B$4,'Respuestas de formulario 1'!$E:$E,$A9)&gt;0,1,0)</f>
        <v>1</v>
      </c>
      <c r="C9" s="1">
        <f>IF(COUNTIFS('Respuestas de formulario 1'!$D:$D,C$4,'Respuestas de formulario 1'!$E:$E,$A9)&gt;0,1,0)</f>
        <v>1</v>
      </c>
      <c r="D9" s="1">
        <f>IF(COUNTIFS('Respuestas de formulario 1'!$D:$D,D$4,'Respuestas de formulario 1'!$E:$E,$A9)&gt;0,1,0)</f>
        <v>1</v>
      </c>
      <c r="E9" s="1">
        <f>IF(COUNTIFS('Respuestas de formulario 1'!$D:$D,E$4,'Respuestas de formulario 1'!$E:$E,$A9)&gt;0,1,0)</f>
        <v>1</v>
      </c>
      <c r="F9" s="1">
        <f>IF(COUNTIFS('Respuestas de formulario 1'!$D:$D,F$4,'Respuestas de formulario 1'!$E:$E,$A9)&gt;0,1,0)</f>
        <v>1</v>
      </c>
      <c r="G9" s="1">
        <f>IF(COUNTIFS('Respuestas de formulario 1'!$D:$D,G$4,'Respuestas de formulario 1'!$E:$E,$A9)&gt;0,1,0)</f>
        <v>1</v>
      </c>
      <c r="H9" s="1">
        <f>IF(COUNTIFS('Respuestas de formulario 1'!$D:$D,H$4,'Respuestas de formulario 1'!$E:$E,$A9)&gt;0,1,0)</f>
        <v>1</v>
      </c>
      <c r="I9" s="1">
        <f>IF(COUNTIFS('Respuestas de formulario 1'!$D:$D,I$4,'Respuestas de formulario 1'!$E:$E,$A9)&gt;0,1,0)</f>
        <v>1</v>
      </c>
      <c r="J9" s="1">
        <f>IF(COUNTIFS('Respuestas de formulario 1'!$D:$D,J$4,'Respuestas de formulario 1'!$E:$E,$A9)&gt;0,1,0)</f>
        <v>0</v>
      </c>
      <c r="K9" s="1">
        <f>IF(COUNTIFS('Respuestas de formulario 1'!$D:$D,K$4,'Respuestas de formulario 1'!$E:$E,$A9)&gt;0,1,0)</f>
        <v>1</v>
      </c>
      <c r="L9" s="29">
        <f t="shared" si="0"/>
        <v>9</v>
      </c>
      <c r="M9" s="29">
        <f t="shared" si="1"/>
        <v>1</v>
      </c>
    </row>
    <row r="10" spans="1:13" x14ac:dyDescent="0.2">
      <c r="A10" t="s">
        <v>338</v>
      </c>
      <c r="B10" s="1">
        <f>IF(COUNTIFS('Respuestas de formulario 1'!$D:$D,B$4,'Respuestas de formulario 1'!$E:$E,$A10)&gt;0,1,0)</f>
        <v>1</v>
      </c>
      <c r="C10" s="1">
        <f>IF(COUNTIFS('Respuestas de formulario 1'!$D:$D,C$4,'Respuestas de formulario 1'!$E:$E,$A10)&gt;0,1,0)</f>
        <v>1</v>
      </c>
      <c r="D10" s="1">
        <f>IF(COUNTIFS('Respuestas de formulario 1'!$D:$D,D$4,'Respuestas de formulario 1'!$E:$E,$A10)&gt;0,1,0)</f>
        <v>1</v>
      </c>
      <c r="E10" s="1">
        <f>IF(COUNTIFS('Respuestas de formulario 1'!$D:$D,E$4,'Respuestas de formulario 1'!$E:$E,$A10)&gt;0,1,0)</f>
        <v>1</v>
      </c>
      <c r="F10" s="1">
        <f>IF(COUNTIFS('Respuestas de formulario 1'!$D:$D,F$4,'Respuestas de formulario 1'!$E:$E,$A10)&gt;0,1,0)</f>
        <v>1</v>
      </c>
      <c r="G10" s="1">
        <f>IF(COUNTIFS('Respuestas de formulario 1'!$D:$D,G$4,'Respuestas de formulario 1'!$E:$E,$A10)&gt;0,1,0)</f>
        <v>1</v>
      </c>
      <c r="H10" s="1">
        <f>IF(COUNTIFS('Respuestas de formulario 1'!$D:$D,H$4,'Respuestas de formulario 1'!$E:$E,$A10)&gt;0,1,0)</f>
        <v>1</v>
      </c>
      <c r="I10" s="1">
        <f>IF(COUNTIFS('Respuestas de formulario 1'!$D:$D,I$4,'Respuestas de formulario 1'!$E:$E,$A10)&gt;0,1,0)</f>
        <v>1</v>
      </c>
      <c r="J10" s="1">
        <f>IF(COUNTIFS('Respuestas de formulario 1'!$D:$D,J$4,'Respuestas de formulario 1'!$E:$E,$A10)&gt;0,1,0)</f>
        <v>1</v>
      </c>
      <c r="K10" s="1">
        <f>IF(COUNTIFS('Respuestas de formulario 1'!$D:$D,K$4,'Respuestas de formulario 1'!$E:$E,$A10)&gt;0,1,0)</f>
        <v>1</v>
      </c>
      <c r="L10" s="29">
        <f t="shared" si="0"/>
        <v>10</v>
      </c>
      <c r="M10" s="29">
        <f t="shared" si="1"/>
        <v>0</v>
      </c>
    </row>
    <row r="11" spans="1:13" x14ac:dyDescent="0.2">
      <c r="A11" t="s">
        <v>374</v>
      </c>
      <c r="B11" s="1">
        <f>IF(COUNTIFS('Respuestas de formulario 1'!$D:$D,B$4,'Respuestas de formulario 1'!$E:$E,$A11)&gt;0,1,0)</f>
        <v>0</v>
      </c>
      <c r="C11" s="1">
        <f>IF(COUNTIFS('Respuestas de formulario 1'!$D:$D,C$4,'Respuestas de formulario 1'!$E:$E,$A11)&gt;0,1,0)</f>
        <v>0</v>
      </c>
      <c r="D11" s="1">
        <f>IF(COUNTIFS('Respuestas de formulario 1'!$D:$D,D$4,'Respuestas de formulario 1'!$E:$E,$A11)&gt;0,1,0)</f>
        <v>0</v>
      </c>
      <c r="E11" s="1">
        <f>IF(COUNTIFS('Respuestas de formulario 1'!$D:$D,E$4,'Respuestas de formulario 1'!$E:$E,$A11)&gt;0,1,0)</f>
        <v>0</v>
      </c>
      <c r="F11" s="1">
        <f>IF(COUNTIFS('Respuestas de formulario 1'!$D:$D,F$4,'Respuestas de formulario 1'!$E:$E,$A11)&gt;0,1,0)</f>
        <v>0</v>
      </c>
      <c r="G11" s="1">
        <f>IF(COUNTIFS('Respuestas de formulario 1'!$D:$D,G$4,'Respuestas de formulario 1'!$E:$E,$A11)&gt;0,1,0)</f>
        <v>0</v>
      </c>
      <c r="H11" s="1">
        <f>IF(COUNTIFS('Respuestas de formulario 1'!$D:$D,H$4,'Respuestas de formulario 1'!$E:$E,$A11)&gt;0,1,0)</f>
        <v>0</v>
      </c>
      <c r="I11" s="1">
        <f>IF(COUNTIFS('Respuestas de formulario 1'!$D:$D,I$4,'Respuestas de formulario 1'!$E:$E,$A11)&gt;0,1,0)</f>
        <v>0</v>
      </c>
      <c r="J11" s="1">
        <f>IF(COUNTIFS('Respuestas de formulario 1'!$D:$D,J$4,'Respuestas de formulario 1'!$E:$E,$A11)&gt;0,1,0)</f>
        <v>0</v>
      </c>
      <c r="K11" s="1">
        <f>IF(COUNTIFS('Respuestas de formulario 1'!$D:$D,K$4,'Respuestas de formulario 1'!$E:$E,$A11)&gt;0,1,0)</f>
        <v>0</v>
      </c>
      <c r="L11" s="29">
        <f t="shared" si="0"/>
        <v>0</v>
      </c>
      <c r="M11" s="29">
        <f t="shared" si="1"/>
        <v>10</v>
      </c>
    </row>
    <row r="12" spans="1:13" x14ac:dyDescent="0.2">
      <c r="A12" t="s">
        <v>336</v>
      </c>
      <c r="B12" s="1">
        <f>IF(COUNTIFS('Respuestas de formulario 1'!$D:$D,B$4,'Respuestas de formulario 1'!$E:$E,$A12)&gt;0,1,0)</f>
        <v>1</v>
      </c>
      <c r="C12" s="1">
        <f>IF(COUNTIFS('Respuestas de formulario 1'!$D:$D,C$4,'Respuestas de formulario 1'!$E:$E,$A12)&gt;0,1,0)</f>
        <v>0</v>
      </c>
      <c r="D12" s="1">
        <f>IF(COUNTIFS('Respuestas de formulario 1'!$D:$D,D$4,'Respuestas de formulario 1'!$E:$E,$A12)&gt;0,1,0)</f>
        <v>0</v>
      </c>
      <c r="E12" s="1">
        <f>IF(COUNTIFS('Respuestas de formulario 1'!$D:$D,E$4,'Respuestas de formulario 1'!$E:$E,$A12)&gt;0,1,0)</f>
        <v>0</v>
      </c>
      <c r="F12" s="1">
        <f>IF(COUNTIFS('Respuestas de formulario 1'!$D:$D,F$4,'Respuestas de formulario 1'!$E:$E,$A12)&gt;0,1,0)</f>
        <v>0</v>
      </c>
      <c r="G12" s="1">
        <f>IF(COUNTIFS('Respuestas de formulario 1'!$D:$D,G$4,'Respuestas de formulario 1'!$E:$E,$A12)&gt;0,1,0)</f>
        <v>0</v>
      </c>
      <c r="H12" s="1">
        <f>IF(COUNTIFS('Respuestas de formulario 1'!$D:$D,H$4,'Respuestas de formulario 1'!$E:$E,$A12)&gt;0,1,0)</f>
        <v>0</v>
      </c>
      <c r="I12" s="1">
        <f>IF(COUNTIFS('Respuestas de formulario 1'!$D:$D,I$4,'Respuestas de formulario 1'!$E:$E,$A12)&gt;0,1,0)</f>
        <v>0</v>
      </c>
      <c r="J12" s="1">
        <f>IF(COUNTIFS('Respuestas de formulario 1'!$D:$D,J$4,'Respuestas de formulario 1'!$E:$E,$A12)&gt;0,1,0)</f>
        <v>0</v>
      </c>
      <c r="K12" s="1">
        <f>IF(COUNTIFS('Respuestas de formulario 1'!$D:$D,K$4,'Respuestas de formulario 1'!$E:$E,$A12)&gt;0,1,0)</f>
        <v>0</v>
      </c>
      <c r="L12" s="29">
        <f t="shared" si="0"/>
        <v>1</v>
      </c>
      <c r="M12" s="29">
        <f t="shared" si="1"/>
        <v>9</v>
      </c>
    </row>
    <row r="13" spans="1:13" x14ac:dyDescent="0.2">
      <c r="A13" t="s">
        <v>323</v>
      </c>
      <c r="B13" s="1">
        <f>IF(COUNTIFS('Respuestas de formulario 1'!$D:$D,B$4,'Respuestas de formulario 1'!$E:$E,$A13)&gt;0,1,0)</f>
        <v>1</v>
      </c>
      <c r="C13" s="1">
        <f>IF(COUNTIFS('Respuestas de formulario 1'!$D:$D,C$4,'Respuestas de formulario 1'!$E:$E,$A13)&gt;0,1,0)</f>
        <v>1</v>
      </c>
      <c r="D13" s="1">
        <f>IF(COUNTIFS('Respuestas de formulario 1'!$D:$D,D$4,'Respuestas de formulario 1'!$E:$E,$A13)&gt;0,1,0)</f>
        <v>1</v>
      </c>
      <c r="E13" s="1">
        <f>IF(COUNTIFS('Respuestas de formulario 1'!$D:$D,E$4,'Respuestas de formulario 1'!$E:$E,$A13)&gt;0,1,0)</f>
        <v>1</v>
      </c>
      <c r="F13" s="1">
        <f>IF(COUNTIFS('Respuestas de formulario 1'!$D:$D,F$4,'Respuestas de formulario 1'!$E:$E,$A13)&gt;0,1,0)</f>
        <v>1</v>
      </c>
      <c r="G13" s="1">
        <f>IF(COUNTIFS('Respuestas de formulario 1'!$D:$D,G$4,'Respuestas de formulario 1'!$E:$E,$A13)&gt;0,1,0)</f>
        <v>1</v>
      </c>
      <c r="H13" s="1">
        <f>IF(COUNTIFS('Respuestas de formulario 1'!$D:$D,H$4,'Respuestas de formulario 1'!$E:$E,$A13)&gt;0,1,0)</f>
        <v>1</v>
      </c>
      <c r="I13" s="1">
        <f>IF(COUNTIFS('Respuestas de formulario 1'!$D:$D,I$4,'Respuestas de formulario 1'!$E:$E,$A13)&gt;0,1,0)</f>
        <v>1</v>
      </c>
      <c r="J13" s="1">
        <f>IF(COUNTIFS('Respuestas de formulario 1'!$D:$D,J$4,'Respuestas de formulario 1'!$E:$E,$A13)&gt;0,1,0)</f>
        <v>0</v>
      </c>
      <c r="K13" s="1">
        <f>IF(COUNTIFS('Respuestas de formulario 1'!$D:$D,K$4,'Respuestas de formulario 1'!$E:$E,$A13)&gt;0,1,0)</f>
        <v>1</v>
      </c>
      <c r="L13" s="29">
        <f t="shared" si="0"/>
        <v>9</v>
      </c>
      <c r="M13" s="29">
        <f t="shared" si="1"/>
        <v>1</v>
      </c>
    </row>
    <row r="14" spans="1:13" x14ac:dyDescent="0.2">
      <c r="A14" t="s">
        <v>125</v>
      </c>
      <c r="B14" s="1">
        <f>IF(COUNTIFS('Respuestas de formulario 1'!$D:$D,B$4,'Respuestas de formulario 1'!$E:$E,$A14)&gt;0,1,0)</f>
        <v>1</v>
      </c>
      <c r="C14" s="1">
        <f>IF(COUNTIFS('Respuestas de formulario 1'!$D:$D,C$4,'Respuestas de formulario 1'!$E:$E,$A14)&gt;0,1,0)</f>
        <v>1</v>
      </c>
      <c r="D14" s="1">
        <f>IF(COUNTIFS('Respuestas de formulario 1'!$D:$D,D$4,'Respuestas de formulario 1'!$E:$E,$A14)&gt;0,1,0)</f>
        <v>1</v>
      </c>
      <c r="E14" s="1">
        <f>IF(COUNTIFS('Respuestas de formulario 1'!$D:$D,E$4,'Respuestas de formulario 1'!$E:$E,$A14)&gt;0,1,0)</f>
        <v>1</v>
      </c>
      <c r="F14" s="1">
        <f>IF(COUNTIFS('Respuestas de formulario 1'!$D:$D,F$4,'Respuestas de formulario 1'!$E:$E,$A14)&gt;0,1,0)</f>
        <v>1</v>
      </c>
      <c r="G14" s="1">
        <f>IF(COUNTIFS('Respuestas de formulario 1'!$D:$D,G$4,'Respuestas de formulario 1'!$E:$E,$A14)&gt;0,1,0)</f>
        <v>1</v>
      </c>
      <c r="H14" s="1">
        <f>IF(COUNTIFS('Respuestas de formulario 1'!$D:$D,H$4,'Respuestas de formulario 1'!$E:$E,$A14)&gt;0,1,0)</f>
        <v>1</v>
      </c>
      <c r="I14" s="1">
        <f>IF(COUNTIFS('Respuestas de formulario 1'!$D:$D,I$4,'Respuestas de formulario 1'!$E:$E,$A14)&gt;0,1,0)</f>
        <v>1</v>
      </c>
      <c r="J14" s="1">
        <f>IF(COUNTIFS('Respuestas de formulario 1'!$D:$D,J$4,'Respuestas de formulario 1'!$E:$E,$A14)&gt;0,1,0)</f>
        <v>1</v>
      </c>
      <c r="K14" s="1">
        <f>IF(COUNTIFS('Respuestas de formulario 1'!$D:$D,K$4,'Respuestas de formulario 1'!$E:$E,$A14)&gt;0,1,0)</f>
        <v>1</v>
      </c>
      <c r="L14" s="29">
        <f t="shared" si="0"/>
        <v>10</v>
      </c>
      <c r="M14" s="29">
        <f t="shared" si="1"/>
        <v>0</v>
      </c>
    </row>
    <row r="15" spans="1:13" x14ac:dyDescent="0.2">
      <c r="A15" t="s">
        <v>330</v>
      </c>
      <c r="B15" s="1">
        <f>IF(COUNTIFS('Respuestas de formulario 1'!$D:$D,B$4,'Respuestas de formulario 1'!$E:$E,$A15)&gt;0,1,0)</f>
        <v>1</v>
      </c>
      <c r="C15" s="1">
        <f>IF(COUNTIFS('Respuestas de formulario 1'!$D:$D,C$4,'Respuestas de formulario 1'!$E:$E,$A15)&gt;0,1,0)</f>
        <v>1</v>
      </c>
      <c r="D15" s="1">
        <f>IF(COUNTIFS('Respuestas de formulario 1'!$D:$D,D$4,'Respuestas de formulario 1'!$E:$E,$A15)&gt;0,1,0)</f>
        <v>1</v>
      </c>
      <c r="E15" s="1">
        <f>IF(COUNTIFS('Respuestas de formulario 1'!$D:$D,E$4,'Respuestas de formulario 1'!$E:$E,$A15)&gt;0,1,0)</f>
        <v>1</v>
      </c>
      <c r="F15" s="1">
        <f>IF(COUNTIFS('Respuestas de formulario 1'!$D:$D,F$4,'Respuestas de formulario 1'!$E:$E,$A15)&gt;0,1,0)</f>
        <v>1</v>
      </c>
      <c r="G15" s="1">
        <f>IF(COUNTIFS('Respuestas de formulario 1'!$D:$D,G$4,'Respuestas de formulario 1'!$E:$E,$A15)&gt;0,1,0)</f>
        <v>1</v>
      </c>
      <c r="H15" s="1">
        <f>IF(COUNTIFS('Respuestas de formulario 1'!$D:$D,H$4,'Respuestas de formulario 1'!$E:$E,$A15)&gt;0,1,0)</f>
        <v>1</v>
      </c>
      <c r="I15" s="1">
        <f>IF(COUNTIFS('Respuestas de formulario 1'!$D:$D,I$4,'Respuestas de formulario 1'!$E:$E,$A15)&gt;0,1,0)</f>
        <v>1</v>
      </c>
      <c r="J15" s="1">
        <f>IF(COUNTIFS('Respuestas de formulario 1'!$D:$D,J$4,'Respuestas de formulario 1'!$E:$E,$A15)&gt;0,1,0)</f>
        <v>0</v>
      </c>
      <c r="K15" s="1">
        <f>IF(COUNTIFS('Respuestas de formulario 1'!$D:$D,K$4,'Respuestas de formulario 1'!$E:$E,$A15)&gt;0,1,0)</f>
        <v>1</v>
      </c>
      <c r="L15" s="29">
        <f t="shared" si="0"/>
        <v>9</v>
      </c>
      <c r="M15" s="29">
        <f t="shared" si="1"/>
        <v>1</v>
      </c>
    </row>
    <row r="16" spans="1:13" x14ac:dyDescent="0.2">
      <c r="A16" t="s">
        <v>348</v>
      </c>
      <c r="B16" s="1">
        <f>IF(COUNTIFS('Respuestas de formulario 1'!$D:$D,B$4,'Respuestas de formulario 1'!$E:$E,$A16)&gt;0,1,0)</f>
        <v>1</v>
      </c>
      <c r="C16" s="1">
        <f>IF(COUNTIFS('Respuestas de formulario 1'!$D:$D,C$4,'Respuestas de formulario 1'!$E:$E,$A16)&gt;0,1,0)</f>
        <v>1</v>
      </c>
      <c r="D16" s="1">
        <f>IF(COUNTIFS('Respuestas de formulario 1'!$D:$D,D$4,'Respuestas de formulario 1'!$E:$E,$A16)&gt;0,1,0)</f>
        <v>1</v>
      </c>
      <c r="E16" s="1">
        <f>IF(COUNTIFS('Respuestas de formulario 1'!$D:$D,E$4,'Respuestas de formulario 1'!$E:$E,$A16)&gt;0,1,0)</f>
        <v>1</v>
      </c>
      <c r="F16" s="1">
        <f>IF(COUNTIFS('Respuestas de formulario 1'!$D:$D,F$4,'Respuestas de formulario 1'!$E:$E,$A16)&gt;0,1,0)</f>
        <v>1</v>
      </c>
      <c r="G16" s="1">
        <f>IF(COUNTIFS('Respuestas de formulario 1'!$D:$D,G$4,'Respuestas de formulario 1'!$E:$E,$A16)&gt;0,1,0)</f>
        <v>1</v>
      </c>
      <c r="H16" s="1">
        <f>IF(COUNTIFS('Respuestas de formulario 1'!$D:$D,H$4,'Respuestas de formulario 1'!$E:$E,$A16)&gt;0,1,0)</f>
        <v>1</v>
      </c>
      <c r="I16" s="1">
        <f>IF(COUNTIFS('Respuestas de formulario 1'!$D:$D,I$4,'Respuestas de formulario 1'!$E:$E,$A16)&gt;0,1,0)</f>
        <v>1</v>
      </c>
      <c r="J16" s="1">
        <f>IF(COUNTIFS('Respuestas de formulario 1'!$D:$D,J$4,'Respuestas de formulario 1'!$E:$E,$A16)&gt;0,1,0)</f>
        <v>1</v>
      </c>
      <c r="K16" s="1">
        <f>IF(COUNTIFS('Respuestas de formulario 1'!$D:$D,K$4,'Respuestas de formulario 1'!$E:$E,$A16)&gt;0,1,0)</f>
        <v>0</v>
      </c>
      <c r="L16" s="29">
        <f t="shared" si="0"/>
        <v>9</v>
      </c>
      <c r="M16" s="29">
        <f t="shared" si="1"/>
        <v>1</v>
      </c>
    </row>
    <row r="17" spans="1:13" x14ac:dyDescent="0.2">
      <c r="A17" t="s">
        <v>332</v>
      </c>
      <c r="B17" s="1">
        <f>IF(COUNTIFS('Respuestas de formulario 1'!$D:$D,B$4,'Respuestas de formulario 1'!$E:$E,$A17)&gt;0,1,0)</f>
        <v>1</v>
      </c>
      <c r="C17" s="1">
        <f>IF(COUNTIFS('Respuestas de formulario 1'!$D:$D,C$4,'Respuestas de formulario 1'!$E:$E,$A17)&gt;0,1,0)</f>
        <v>1</v>
      </c>
      <c r="D17" s="1">
        <f>IF(COUNTIFS('Respuestas de formulario 1'!$D:$D,D$4,'Respuestas de formulario 1'!$E:$E,$A17)&gt;0,1,0)</f>
        <v>1</v>
      </c>
      <c r="E17" s="1">
        <f>IF(COUNTIFS('Respuestas de formulario 1'!$D:$D,E$4,'Respuestas de formulario 1'!$E:$E,$A17)&gt;0,1,0)</f>
        <v>0</v>
      </c>
      <c r="F17" s="1">
        <f>IF(COUNTIFS('Respuestas de formulario 1'!$D:$D,F$4,'Respuestas de formulario 1'!$E:$E,$A17)&gt;0,1,0)</f>
        <v>1</v>
      </c>
      <c r="G17" s="1">
        <f>IF(COUNTIFS('Respuestas de formulario 1'!$D:$D,G$4,'Respuestas de formulario 1'!$E:$E,$A17)&gt;0,1,0)</f>
        <v>1</v>
      </c>
      <c r="H17" s="1">
        <f>IF(COUNTIFS('Respuestas de formulario 1'!$D:$D,H$4,'Respuestas de formulario 1'!$E:$E,$A17)&gt;0,1,0)</f>
        <v>1</v>
      </c>
      <c r="I17" s="1">
        <f>IF(COUNTIFS('Respuestas de formulario 1'!$D:$D,I$4,'Respuestas de formulario 1'!$E:$E,$A17)&gt;0,1,0)</f>
        <v>1</v>
      </c>
      <c r="J17" s="1">
        <f>IF(COUNTIFS('Respuestas de formulario 1'!$D:$D,J$4,'Respuestas de formulario 1'!$E:$E,$A17)&gt;0,1,0)</f>
        <v>1</v>
      </c>
      <c r="K17" s="1">
        <f>IF(COUNTIFS('Respuestas de formulario 1'!$D:$D,K$4,'Respuestas de formulario 1'!$E:$E,$A17)&gt;0,1,0)</f>
        <v>1</v>
      </c>
      <c r="L17" s="29">
        <f t="shared" si="0"/>
        <v>9</v>
      </c>
      <c r="M17" s="29">
        <f t="shared" si="1"/>
        <v>1</v>
      </c>
    </row>
    <row r="18" spans="1:13" x14ac:dyDescent="0.2">
      <c r="A18" t="s">
        <v>375</v>
      </c>
      <c r="B18" s="1">
        <f>IF(COUNTIFS('Respuestas de formulario 1'!$D:$D,B$4,'Respuestas de formulario 1'!$E:$E,$A18)&gt;0,1,0)</f>
        <v>0</v>
      </c>
      <c r="C18" s="1">
        <f>IF(COUNTIFS('Respuestas de formulario 1'!$D:$D,C$4,'Respuestas de formulario 1'!$E:$E,$A18)&gt;0,1,0)</f>
        <v>0</v>
      </c>
      <c r="D18" s="1">
        <f>IF(COUNTIFS('Respuestas de formulario 1'!$D:$D,D$4,'Respuestas de formulario 1'!$E:$E,$A18)&gt;0,1,0)</f>
        <v>0</v>
      </c>
      <c r="E18" s="1">
        <f>IF(COUNTIFS('Respuestas de formulario 1'!$D:$D,E$4,'Respuestas de formulario 1'!$E:$E,$A18)&gt;0,1,0)</f>
        <v>0</v>
      </c>
      <c r="F18" s="1">
        <f>IF(COUNTIFS('Respuestas de formulario 1'!$D:$D,F$4,'Respuestas de formulario 1'!$E:$E,$A18)&gt;0,1,0)</f>
        <v>0</v>
      </c>
      <c r="G18" s="1">
        <f>IF(COUNTIFS('Respuestas de formulario 1'!$D:$D,G$4,'Respuestas de formulario 1'!$E:$E,$A18)&gt;0,1,0)</f>
        <v>0</v>
      </c>
      <c r="H18" s="1">
        <f>IF(COUNTIFS('Respuestas de formulario 1'!$D:$D,H$4,'Respuestas de formulario 1'!$E:$E,$A18)&gt;0,1,0)</f>
        <v>0</v>
      </c>
      <c r="I18" s="1">
        <f>IF(COUNTIFS('Respuestas de formulario 1'!$D:$D,I$4,'Respuestas de formulario 1'!$E:$E,$A18)&gt;0,1,0)</f>
        <v>0</v>
      </c>
      <c r="J18" s="1">
        <f>IF(COUNTIFS('Respuestas de formulario 1'!$D:$D,J$4,'Respuestas de formulario 1'!$E:$E,$A18)&gt;0,1,0)</f>
        <v>0</v>
      </c>
      <c r="K18" s="1">
        <f>IF(COUNTIFS('Respuestas de formulario 1'!$D:$D,K$4,'Respuestas de formulario 1'!$E:$E,$A18)&gt;0,1,0)</f>
        <v>0</v>
      </c>
      <c r="L18" s="29">
        <f t="shared" si="0"/>
        <v>0</v>
      </c>
      <c r="M18" s="29">
        <f t="shared" si="1"/>
        <v>10</v>
      </c>
    </row>
    <row r="19" spans="1:13" x14ac:dyDescent="0.2">
      <c r="A19" t="s">
        <v>376</v>
      </c>
      <c r="B19" s="1">
        <f>IF(COUNTIFS('Respuestas de formulario 1'!$D:$D,B$4,'Respuestas de formulario 1'!$E:$E,$A19)&gt;0,1,0)</f>
        <v>0</v>
      </c>
      <c r="C19" s="1">
        <f>IF(COUNTIFS('Respuestas de formulario 1'!$D:$D,C$4,'Respuestas de formulario 1'!$E:$E,$A19)&gt;0,1,0)</f>
        <v>0</v>
      </c>
      <c r="D19" s="1">
        <f>IF(COUNTIFS('Respuestas de formulario 1'!$D:$D,D$4,'Respuestas de formulario 1'!$E:$E,$A19)&gt;0,1,0)</f>
        <v>0</v>
      </c>
      <c r="E19" s="1">
        <f>IF(COUNTIFS('Respuestas de formulario 1'!$D:$D,E$4,'Respuestas de formulario 1'!$E:$E,$A19)&gt;0,1,0)</f>
        <v>0</v>
      </c>
      <c r="F19" s="1">
        <f>IF(COUNTIFS('Respuestas de formulario 1'!$D:$D,F$4,'Respuestas de formulario 1'!$E:$E,$A19)&gt;0,1,0)</f>
        <v>0</v>
      </c>
      <c r="G19" s="1">
        <f>IF(COUNTIFS('Respuestas de formulario 1'!$D:$D,G$4,'Respuestas de formulario 1'!$E:$E,$A19)&gt;0,1,0)</f>
        <v>0</v>
      </c>
      <c r="H19" s="1">
        <f>IF(COUNTIFS('Respuestas de formulario 1'!$D:$D,H$4,'Respuestas de formulario 1'!$E:$E,$A19)&gt;0,1,0)</f>
        <v>0</v>
      </c>
      <c r="I19" s="1">
        <f>IF(COUNTIFS('Respuestas de formulario 1'!$D:$D,I$4,'Respuestas de formulario 1'!$E:$E,$A19)&gt;0,1,0)</f>
        <v>0</v>
      </c>
      <c r="J19" s="1">
        <f>IF(COUNTIFS('Respuestas de formulario 1'!$D:$D,J$4,'Respuestas de formulario 1'!$E:$E,$A19)&gt;0,1,0)</f>
        <v>0</v>
      </c>
      <c r="K19" s="1">
        <f>IF(COUNTIFS('Respuestas de formulario 1'!$D:$D,K$4,'Respuestas de formulario 1'!$E:$E,$A19)&gt;0,1,0)</f>
        <v>0</v>
      </c>
      <c r="L19" s="29">
        <f t="shared" si="0"/>
        <v>0</v>
      </c>
      <c r="M19" s="29">
        <f t="shared" si="1"/>
        <v>10</v>
      </c>
    </row>
    <row r="20" spans="1:13" x14ac:dyDescent="0.2">
      <c r="A20" t="s">
        <v>343</v>
      </c>
      <c r="B20" s="1">
        <f>IF(COUNTIFS('Respuestas de formulario 1'!$D:$D,B$4,'Respuestas de formulario 1'!$E:$E,$A20)&gt;0,1,0)</f>
        <v>1</v>
      </c>
      <c r="C20" s="1">
        <f>IF(COUNTIFS('Respuestas de formulario 1'!$D:$D,C$4,'Respuestas de formulario 1'!$E:$E,$A20)&gt;0,1,0)</f>
        <v>1</v>
      </c>
      <c r="D20" s="1">
        <f>IF(COUNTIFS('Respuestas de formulario 1'!$D:$D,D$4,'Respuestas de formulario 1'!$E:$E,$A20)&gt;0,1,0)</f>
        <v>1</v>
      </c>
      <c r="E20" s="1">
        <f>IF(COUNTIFS('Respuestas de formulario 1'!$D:$D,E$4,'Respuestas de formulario 1'!$E:$E,$A20)&gt;0,1,0)</f>
        <v>1</v>
      </c>
      <c r="F20" s="1">
        <f>IF(COUNTIFS('Respuestas de formulario 1'!$D:$D,F$4,'Respuestas de formulario 1'!$E:$E,$A20)&gt;0,1,0)</f>
        <v>0</v>
      </c>
      <c r="G20" s="1">
        <f>IF(COUNTIFS('Respuestas de formulario 1'!$D:$D,G$4,'Respuestas de formulario 1'!$E:$E,$A20)&gt;0,1,0)</f>
        <v>0</v>
      </c>
      <c r="H20" s="1">
        <f>IF(COUNTIFS('Respuestas de formulario 1'!$D:$D,H$4,'Respuestas de formulario 1'!$E:$E,$A20)&gt;0,1,0)</f>
        <v>1</v>
      </c>
      <c r="I20" s="1">
        <f>IF(COUNTIFS('Respuestas de formulario 1'!$D:$D,I$4,'Respuestas de formulario 1'!$E:$E,$A20)&gt;0,1,0)</f>
        <v>1</v>
      </c>
      <c r="J20" s="1">
        <f>IF(COUNTIFS('Respuestas de formulario 1'!$D:$D,J$4,'Respuestas de formulario 1'!$E:$E,$A20)&gt;0,1,0)</f>
        <v>1</v>
      </c>
      <c r="K20" s="1">
        <f>IF(COUNTIFS('Respuestas de formulario 1'!$D:$D,K$4,'Respuestas de formulario 1'!$E:$E,$A20)&gt;0,1,0)</f>
        <v>1</v>
      </c>
      <c r="L20" s="29">
        <f t="shared" si="0"/>
        <v>8</v>
      </c>
      <c r="M20" s="29">
        <f t="shared" si="1"/>
        <v>2</v>
      </c>
    </row>
    <row r="21" spans="1:13" x14ac:dyDescent="0.2">
      <c r="A21" t="s">
        <v>326</v>
      </c>
      <c r="B21" s="1">
        <f>IF(COUNTIFS('Respuestas de formulario 1'!$D:$D,B$4,'Respuestas de formulario 1'!$E:$E,$A21)&gt;0,1,0)</f>
        <v>1</v>
      </c>
      <c r="C21" s="1">
        <f>IF(COUNTIFS('Respuestas de formulario 1'!$D:$D,C$4,'Respuestas de formulario 1'!$E:$E,$A21)&gt;0,1,0)</f>
        <v>1</v>
      </c>
      <c r="D21" s="1">
        <f>IF(COUNTIFS('Respuestas de formulario 1'!$D:$D,D$4,'Respuestas de formulario 1'!$E:$E,$A21)&gt;0,1,0)</f>
        <v>1</v>
      </c>
      <c r="E21" s="1">
        <f>IF(COUNTIFS('Respuestas de formulario 1'!$D:$D,E$4,'Respuestas de formulario 1'!$E:$E,$A21)&gt;0,1,0)</f>
        <v>1</v>
      </c>
      <c r="F21" s="1">
        <f>IF(COUNTIFS('Respuestas de formulario 1'!$D:$D,F$4,'Respuestas de formulario 1'!$E:$E,$A21)&gt;0,1,0)</f>
        <v>1</v>
      </c>
      <c r="G21" s="1">
        <f>IF(COUNTIFS('Respuestas de formulario 1'!$D:$D,G$4,'Respuestas de formulario 1'!$E:$E,$A21)&gt;0,1,0)</f>
        <v>1</v>
      </c>
      <c r="H21" s="1">
        <f>IF(COUNTIFS('Respuestas de formulario 1'!$D:$D,H$4,'Respuestas de formulario 1'!$E:$E,$A21)&gt;0,1,0)</f>
        <v>1</v>
      </c>
      <c r="I21" s="1">
        <f>IF(COUNTIFS('Respuestas de formulario 1'!$D:$D,I$4,'Respuestas de formulario 1'!$E:$E,$A21)&gt;0,1,0)</f>
        <v>1</v>
      </c>
      <c r="J21" s="1">
        <f>IF(COUNTIFS('Respuestas de formulario 1'!$D:$D,J$4,'Respuestas de formulario 1'!$E:$E,$A21)&gt;0,1,0)</f>
        <v>1</v>
      </c>
      <c r="K21" s="1">
        <f>IF(COUNTIFS('Respuestas de formulario 1'!$D:$D,K$4,'Respuestas de formulario 1'!$E:$E,$A21)&gt;0,1,0)</f>
        <v>0</v>
      </c>
      <c r="L21" s="29">
        <f t="shared" si="0"/>
        <v>9</v>
      </c>
      <c r="M21" s="29">
        <f t="shared" si="1"/>
        <v>1</v>
      </c>
    </row>
    <row r="22" spans="1:13" x14ac:dyDescent="0.2">
      <c r="A22" t="s">
        <v>377</v>
      </c>
      <c r="B22" s="1">
        <f>IF(COUNTIFS('Respuestas de formulario 1'!$D:$D,B$4,'Respuestas de formulario 1'!$E:$E,$A22)&gt;0,1,0)</f>
        <v>0</v>
      </c>
      <c r="C22" s="1">
        <f>IF(COUNTIFS('Respuestas de formulario 1'!$D:$D,C$4,'Respuestas de formulario 1'!$E:$E,$A22)&gt;0,1,0)</f>
        <v>0</v>
      </c>
      <c r="D22" s="1">
        <f>IF(COUNTIFS('Respuestas de formulario 1'!$D:$D,D$4,'Respuestas de formulario 1'!$E:$E,$A22)&gt;0,1,0)</f>
        <v>0</v>
      </c>
      <c r="E22" s="1">
        <f>IF(COUNTIFS('Respuestas de formulario 1'!$D:$D,E$4,'Respuestas de formulario 1'!$E:$E,$A22)&gt;0,1,0)</f>
        <v>0</v>
      </c>
      <c r="F22" s="1">
        <f>IF(COUNTIFS('Respuestas de formulario 1'!$D:$D,F$4,'Respuestas de formulario 1'!$E:$E,$A22)&gt;0,1,0)</f>
        <v>0</v>
      </c>
      <c r="G22" s="1">
        <f>IF(COUNTIFS('Respuestas de formulario 1'!$D:$D,G$4,'Respuestas de formulario 1'!$E:$E,$A22)&gt;0,1,0)</f>
        <v>0</v>
      </c>
      <c r="H22" s="1">
        <f>IF(COUNTIFS('Respuestas de formulario 1'!$D:$D,H$4,'Respuestas de formulario 1'!$E:$E,$A22)&gt;0,1,0)</f>
        <v>0</v>
      </c>
      <c r="I22" s="1">
        <f>IF(COUNTIFS('Respuestas de formulario 1'!$D:$D,I$4,'Respuestas de formulario 1'!$E:$E,$A22)&gt;0,1,0)</f>
        <v>0</v>
      </c>
      <c r="J22" s="1">
        <f>IF(COUNTIFS('Respuestas de formulario 1'!$D:$D,J$4,'Respuestas de formulario 1'!$E:$E,$A22)&gt;0,1,0)</f>
        <v>0</v>
      </c>
      <c r="K22" s="1">
        <f>IF(COUNTIFS('Respuestas de formulario 1'!$D:$D,K$4,'Respuestas de formulario 1'!$E:$E,$A22)&gt;0,1,0)</f>
        <v>0</v>
      </c>
      <c r="L22" s="29">
        <f t="shared" si="0"/>
        <v>0</v>
      </c>
      <c r="M22" s="29">
        <f t="shared" si="1"/>
        <v>10</v>
      </c>
    </row>
    <row r="23" spans="1:13" x14ac:dyDescent="0.2">
      <c r="A23" t="s">
        <v>358</v>
      </c>
      <c r="B23" s="1">
        <f>IF(COUNTIFS('Respuestas de formulario 1'!$D:$D,B$4,'Respuestas de formulario 1'!$E:$E,$A23)&gt;0,1,0)</f>
        <v>0</v>
      </c>
      <c r="C23" s="1">
        <f>IF(COUNTIFS('Respuestas de formulario 1'!$D:$D,C$4,'Respuestas de formulario 1'!$E:$E,$A23)&gt;0,1,0)</f>
        <v>0</v>
      </c>
      <c r="D23" s="1">
        <f>IF(COUNTIFS('Respuestas de formulario 1'!$D:$D,D$4,'Respuestas de formulario 1'!$E:$E,$A23)&gt;0,1,0)</f>
        <v>0</v>
      </c>
      <c r="E23" s="1">
        <f>IF(COUNTIFS('Respuestas de formulario 1'!$D:$D,E$4,'Respuestas de formulario 1'!$E:$E,$A23)&gt;0,1,0)</f>
        <v>1</v>
      </c>
      <c r="F23" s="1">
        <f>IF(COUNTIFS('Respuestas de formulario 1'!$D:$D,F$4,'Respuestas de formulario 1'!$E:$E,$A23)&gt;0,1,0)</f>
        <v>0</v>
      </c>
      <c r="G23" s="1">
        <f>IF(COUNTIFS('Respuestas de formulario 1'!$D:$D,G$4,'Respuestas de formulario 1'!$E:$E,$A23)&gt;0,1,0)</f>
        <v>0</v>
      </c>
      <c r="H23" s="1">
        <f>IF(COUNTIFS('Respuestas de formulario 1'!$D:$D,H$4,'Respuestas de formulario 1'!$E:$E,$A23)&gt;0,1,0)</f>
        <v>0</v>
      </c>
      <c r="I23" s="1">
        <f>IF(COUNTIFS('Respuestas de formulario 1'!$D:$D,I$4,'Respuestas de formulario 1'!$E:$E,$A23)&gt;0,1,0)</f>
        <v>0</v>
      </c>
      <c r="J23" s="1">
        <f>IF(COUNTIFS('Respuestas de formulario 1'!$D:$D,J$4,'Respuestas de formulario 1'!$E:$E,$A23)&gt;0,1,0)</f>
        <v>0</v>
      </c>
      <c r="K23" s="1">
        <f>IF(COUNTIFS('Respuestas de formulario 1'!$D:$D,K$4,'Respuestas de formulario 1'!$E:$E,$A23)&gt;0,1,0)</f>
        <v>0</v>
      </c>
      <c r="L23" s="29">
        <f t="shared" si="0"/>
        <v>1</v>
      </c>
      <c r="M23" s="29">
        <f t="shared" si="1"/>
        <v>9</v>
      </c>
    </row>
    <row r="24" spans="1:13" x14ac:dyDescent="0.2">
      <c r="A24" t="s">
        <v>378</v>
      </c>
      <c r="B24" s="1">
        <f>IF(COUNTIFS('Respuestas de formulario 1'!$D:$D,B$4,'Respuestas de formulario 1'!$E:$E,$A24)&gt;0,1,0)</f>
        <v>0</v>
      </c>
      <c r="C24" s="1">
        <f>IF(COUNTIFS('Respuestas de formulario 1'!$D:$D,C$4,'Respuestas de formulario 1'!$E:$E,$A24)&gt;0,1,0)</f>
        <v>0</v>
      </c>
      <c r="D24" s="1">
        <f>IF(COUNTIFS('Respuestas de formulario 1'!$D:$D,D$4,'Respuestas de formulario 1'!$E:$E,$A24)&gt;0,1,0)</f>
        <v>0</v>
      </c>
      <c r="E24" s="1">
        <f>IF(COUNTIFS('Respuestas de formulario 1'!$D:$D,E$4,'Respuestas de formulario 1'!$E:$E,$A24)&gt;0,1,0)</f>
        <v>0</v>
      </c>
      <c r="F24" s="1">
        <f>IF(COUNTIFS('Respuestas de formulario 1'!$D:$D,F$4,'Respuestas de formulario 1'!$E:$E,$A24)&gt;0,1,0)</f>
        <v>0</v>
      </c>
      <c r="G24" s="1">
        <f>IF(COUNTIFS('Respuestas de formulario 1'!$D:$D,G$4,'Respuestas de formulario 1'!$E:$E,$A24)&gt;0,1,0)</f>
        <v>0</v>
      </c>
      <c r="H24" s="1">
        <f>IF(COUNTIFS('Respuestas de formulario 1'!$D:$D,H$4,'Respuestas de formulario 1'!$E:$E,$A24)&gt;0,1,0)</f>
        <v>0</v>
      </c>
      <c r="I24" s="1">
        <f>IF(COUNTIFS('Respuestas de formulario 1'!$D:$D,I$4,'Respuestas de formulario 1'!$E:$E,$A24)&gt;0,1,0)</f>
        <v>0</v>
      </c>
      <c r="J24" s="1">
        <f>IF(COUNTIFS('Respuestas de formulario 1'!$D:$D,J$4,'Respuestas de formulario 1'!$E:$E,$A24)&gt;0,1,0)</f>
        <v>0</v>
      </c>
      <c r="K24" s="1">
        <f>IF(COUNTIFS('Respuestas de formulario 1'!$D:$D,K$4,'Respuestas de formulario 1'!$E:$E,$A24)&gt;0,1,0)</f>
        <v>0</v>
      </c>
      <c r="L24" s="29">
        <f t="shared" si="0"/>
        <v>0</v>
      </c>
      <c r="M24" s="29">
        <f t="shared" si="1"/>
        <v>10</v>
      </c>
    </row>
    <row r="25" spans="1:13" x14ac:dyDescent="0.2">
      <c r="A25" t="s">
        <v>342</v>
      </c>
      <c r="B25" s="1">
        <f>IF(COUNTIFS('Respuestas de formulario 1'!$D:$D,B$4,'Respuestas de formulario 1'!$E:$E,$A25)&gt;0,1,0)</f>
        <v>1</v>
      </c>
      <c r="C25" s="1">
        <f>IF(COUNTIFS('Respuestas de formulario 1'!$D:$D,C$4,'Respuestas de formulario 1'!$E:$E,$A25)&gt;0,1,0)</f>
        <v>1</v>
      </c>
      <c r="D25" s="1">
        <f>IF(COUNTIFS('Respuestas de formulario 1'!$D:$D,D$4,'Respuestas de formulario 1'!$E:$E,$A25)&gt;0,1,0)</f>
        <v>1</v>
      </c>
      <c r="E25" s="1">
        <f>IF(COUNTIFS('Respuestas de formulario 1'!$D:$D,E$4,'Respuestas de formulario 1'!$E:$E,$A25)&gt;0,1,0)</f>
        <v>1</v>
      </c>
      <c r="F25" s="1">
        <f>IF(COUNTIFS('Respuestas de formulario 1'!$D:$D,F$4,'Respuestas de formulario 1'!$E:$E,$A25)&gt;0,1,0)</f>
        <v>1</v>
      </c>
      <c r="G25" s="1">
        <f>IF(COUNTIFS('Respuestas de formulario 1'!$D:$D,G$4,'Respuestas de formulario 1'!$E:$E,$A25)&gt;0,1,0)</f>
        <v>1</v>
      </c>
      <c r="H25" s="1">
        <f>IF(COUNTIFS('Respuestas de formulario 1'!$D:$D,H$4,'Respuestas de formulario 1'!$E:$E,$A25)&gt;0,1,0)</f>
        <v>1</v>
      </c>
      <c r="I25" s="1">
        <f>IF(COUNTIFS('Respuestas de formulario 1'!$D:$D,I$4,'Respuestas de formulario 1'!$E:$E,$A25)&gt;0,1,0)</f>
        <v>1</v>
      </c>
      <c r="J25" s="1">
        <f>IF(COUNTIFS('Respuestas de formulario 1'!$D:$D,J$4,'Respuestas de formulario 1'!$E:$E,$A25)&gt;0,1,0)</f>
        <v>1</v>
      </c>
      <c r="K25" s="1">
        <f>IF(COUNTIFS('Respuestas de formulario 1'!$D:$D,K$4,'Respuestas de formulario 1'!$E:$E,$A25)&gt;0,1,0)</f>
        <v>0</v>
      </c>
      <c r="L25" s="29">
        <f t="shared" si="0"/>
        <v>9</v>
      </c>
      <c r="M25" s="29">
        <f t="shared" si="1"/>
        <v>1</v>
      </c>
    </row>
    <row r="26" spans="1:13" x14ac:dyDescent="0.2">
      <c r="A26" t="s">
        <v>328</v>
      </c>
      <c r="B26" s="1">
        <f>IF(COUNTIFS('Respuestas de formulario 1'!$D:$D,B$4,'Respuestas de formulario 1'!$E:$E,$A26)&gt;0,1,0)</f>
        <v>1</v>
      </c>
      <c r="C26" s="1">
        <f>IF(COUNTIFS('Respuestas de formulario 1'!$D:$D,C$4,'Respuestas de formulario 1'!$E:$E,$A26)&gt;0,1,0)</f>
        <v>1</v>
      </c>
      <c r="D26" s="1">
        <f>IF(COUNTIFS('Respuestas de formulario 1'!$D:$D,D$4,'Respuestas de formulario 1'!$E:$E,$A26)&gt;0,1,0)</f>
        <v>1</v>
      </c>
      <c r="E26" s="1">
        <f>IF(COUNTIFS('Respuestas de formulario 1'!$D:$D,E$4,'Respuestas de formulario 1'!$E:$E,$A26)&gt;0,1,0)</f>
        <v>1</v>
      </c>
      <c r="F26" s="1">
        <f>IF(COUNTIFS('Respuestas de formulario 1'!$D:$D,F$4,'Respuestas de formulario 1'!$E:$E,$A26)&gt;0,1,0)</f>
        <v>1</v>
      </c>
      <c r="G26" s="1">
        <f>IF(COUNTIFS('Respuestas de formulario 1'!$D:$D,G$4,'Respuestas de formulario 1'!$E:$E,$A26)&gt;0,1,0)</f>
        <v>1</v>
      </c>
      <c r="H26" s="1">
        <f>IF(COUNTIFS('Respuestas de formulario 1'!$D:$D,H$4,'Respuestas de formulario 1'!$E:$E,$A26)&gt;0,1,0)</f>
        <v>1</v>
      </c>
      <c r="I26" s="1">
        <f>IF(COUNTIFS('Respuestas de formulario 1'!$D:$D,I$4,'Respuestas de formulario 1'!$E:$E,$A26)&gt;0,1,0)</f>
        <v>1</v>
      </c>
      <c r="J26" s="1">
        <f>IF(COUNTIFS('Respuestas de formulario 1'!$D:$D,J$4,'Respuestas de formulario 1'!$E:$E,$A26)&gt;0,1,0)</f>
        <v>1</v>
      </c>
      <c r="K26" s="1">
        <f>IF(COUNTIFS('Respuestas de formulario 1'!$D:$D,K$4,'Respuestas de formulario 1'!$E:$E,$A26)&gt;0,1,0)</f>
        <v>1</v>
      </c>
      <c r="L26" s="29">
        <f t="shared" si="0"/>
        <v>10</v>
      </c>
      <c r="M26" s="29">
        <f t="shared" si="1"/>
        <v>0</v>
      </c>
    </row>
    <row r="27" spans="1:13" x14ac:dyDescent="0.2">
      <c r="A27" t="s">
        <v>327</v>
      </c>
      <c r="B27" s="1">
        <f>IF(COUNTIFS('Respuestas de formulario 1'!$D:$D,B$4,'Respuestas de formulario 1'!$E:$E,$A27)&gt;0,1,0)</f>
        <v>1</v>
      </c>
      <c r="C27" s="1">
        <f>IF(COUNTIFS('Respuestas de formulario 1'!$D:$D,C$4,'Respuestas de formulario 1'!$E:$E,$A27)&gt;0,1,0)</f>
        <v>1</v>
      </c>
      <c r="D27" s="1">
        <f>IF(COUNTIFS('Respuestas de formulario 1'!$D:$D,D$4,'Respuestas de formulario 1'!$E:$E,$A27)&gt;0,1,0)</f>
        <v>1</v>
      </c>
      <c r="E27" s="1">
        <f>IF(COUNTIFS('Respuestas de formulario 1'!$D:$D,E$4,'Respuestas de formulario 1'!$E:$E,$A27)&gt;0,1,0)</f>
        <v>1</v>
      </c>
      <c r="F27" s="1">
        <f>IF(COUNTIFS('Respuestas de formulario 1'!$D:$D,F$4,'Respuestas de formulario 1'!$E:$E,$A27)&gt;0,1,0)</f>
        <v>1</v>
      </c>
      <c r="G27" s="1">
        <f>IF(COUNTIFS('Respuestas de formulario 1'!$D:$D,G$4,'Respuestas de formulario 1'!$E:$E,$A27)&gt;0,1,0)</f>
        <v>1</v>
      </c>
      <c r="H27" s="1">
        <f>IF(COUNTIFS('Respuestas de formulario 1'!$D:$D,H$4,'Respuestas de formulario 1'!$E:$E,$A27)&gt;0,1,0)</f>
        <v>1</v>
      </c>
      <c r="I27" s="1">
        <f>IF(COUNTIFS('Respuestas de formulario 1'!$D:$D,I$4,'Respuestas de formulario 1'!$E:$E,$A27)&gt;0,1,0)</f>
        <v>1</v>
      </c>
      <c r="J27" s="1">
        <f>IF(COUNTIFS('Respuestas de formulario 1'!$D:$D,J$4,'Respuestas de formulario 1'!$E:$E,$A27)&gt;0,1,0)</f>
        <v>0</v>
      </c>
      <c r="K27" s="1">
        <f>IF(COUNTIFS('Respuestas de formulario 1'!$D:$D,K$4,'Respuestas de formulario 1'!$E:$E,$A27)&gt;0,1,0)</f>
        <v>0</v>
      </c>
      <c r="L27" s="29">
        <f t="shared" si="0"/>
        <v>8</v>
      </c>
      <c r="M27" s="29">
        <f t="shared" si="1"/>
        <v>2</v>
      </c>
    </row>
    <row r="28" spans="1:13" x14ac:dyDescent="0.2">
      <c r="A28" t="s">
        <v>347</v>
      </c>
      <c r="B28" s="1">
        <f>IF(COUNTIFS('Respuestas de formulario 1'!$D:$D,B$4,'Respuestas de formulario 1'!$E:$E,$A28)&gt;0,1,0)</f>
        <v>1</v>
      </c>
      <c r="C28" s="1">
        <f>IF(COUNTIFS('Respuestas de formulario 1'!$D:$D,C$4,'Respuestas de formulario 1'!$E:$E,$A28)&gt;0,1,0)</f>
        <v>1</v>
      </c>
      <c r="D28" s="1">
        <f>IF(COUNTIFS('Respuestas de formulario 1'!$D:$D,D$4,'Respuestas de formulario 1'!$E:$E,$A28)&gt;0,1,0)</f>
        <v>0</v>
      </c>
      <c r="E28" s="1">
        <f>IF(COUNTIFS('Respuestas de formulario 1'!$D:$D,E$4,'Respuestas de formulario 1'!$E:$E,$A28)&gt;0,1,0)</f>
        <v>1</v>
      </c>
      <c r="F28" s="1">
        <f>IF(COUNTIFS('Respuestas de formulario 1'!$D:$D,F$4,'Respuestas de formulario 1'!$E:$E,$A28)&gt;0,1,0)</f>
        <v>0</v>
      </c>
      <c r="G28" s="1">
        <f>IF(COUNTIFS('Respuestas de formulario 1'!$D:$D,G$4,'Respuestas de formulario 1'!$E:$E,$A28)&gt;0,1,0)</f>
        <v>1</v>
      </c>
      <c r="H28" s="1">
        <f>IF(COUNTIFS('Respuestas de formulario 1'!$D:$D,H$4,'Respuestas de formulario 1'!$E:$E,$A28)&gt;0,1,0)</f>
        <v>1</v>
      </c>
      <c r="I28" s="1">
        <f>IF(COUNTIFS('Respuestas de formulario 1'!$D:$D,I$4,'Respuestas de formulario 1'!$E:$E,$A28)&gt;0,1,0)</f>
        <v>1</v>
      </c>
      <c r="J28" s="1">
        <f>IF(COUNTIFS('Respuestas de formulario 1'!$D:$D,J$4,'Respuestas de formulario 1'!$E:$E,$A28)&gt;0,1,0)</f>
        <v>1</v>
      </c>
      <c r="K28" s="1">
        <f>IF(COUNTIFS('Respuestas de formulario 1'!$D:$D,K$4,'Respuestas de formulario 1'!$E:$E,$A28)&gt;0,1,0)</f>
        <v>0</v>
      </c>
      <c r="L28" s="29">
        <f t="shared" si="0"/>
        <v>7</v>
      </c>
      <c r="M28" s="29">
        <f t="shared" si="1"/>
        <v>3</v>
      </c>
    </row>
    <row r="29" spans="1:13" x14ac:dyDescent="0.2">
      <c r="A29" t="s">
        <v>36</v>
      </c>
      <c r="B29" s="1">
        <f>IF(COUNTIFS('Respuestas de formulario 1'!$D:$D,B$4,'Respuestas de formulario 1'!$E:$E,$A29)&gt;0,1,0)</f>
        <v>1</v>
      </c>
      <c r="C29" s="1">
        <f>IF(COUNTIFS('Respuestas de formulario 1'!$D:$D,C$4,'Respuestas de formulario 1'!$E:$E,$A29)&gt;0,1,0)</f>
        <v>1</v>
      </c>
      <c r="D29" s="1">
        <f>IF(COUNTIFS('Respuestas de formulario 1'!$D:$D,D$4,'Respuestas de formulario 1'!$E:$E,$A29)&gt;0,1,0)</f>
        <v>1</v>
      </c>
      <c r="E29" s="1">
        <f>IF(COUNTIFS('Respuestas de formulario 1'!$D:$D,E$4,'Respuestas de formulario 1'!$E:$E,$A29)&gt;0,1,0)</f>
        <v>1</v>
      </c>
      <c r="F29" s="1">
        <f>IF(COUNTIFS('Respuestas de formulario 1'!$D:$D,F$4,'Respuestas de formulario 1'!$E:$E,$A29)&gt;0,1,0)</f>
        <v>1</v>
      </c>
      <c r="G29" s="1">
        <f>IF(COUNTIFS('Respuestas de formulario 1'!$D:$D,G$4,'Respuestas de formulario 1'!$E:$E,$A29)&gt;0,1,0)</f>
        <v>1</v>
      </c>
      <c r="H29" s="1">
        <f>IF(COUNTIFS('Respuestas de formulario 1'!$D:$D,H$4,'Respuestas de formulario 1'!$E:$E,$A29)&gt;0,1,0)</f>
        <v>1</v>
      </c>
      <c r="I29" s="1">
        <f>IF(COUNTIFS('Respuestas de formulario 1'!$D:$D,I$4,'Respuestas de formulario 1'!$E:$E,$A29)&gt;0,1,0)</f>
        <v>1</v>
      </c>
      <c r="J29" s="1">
        <f>IF(COUNTIFS('Respuestas de formulario 1'!$D:$D,J$4,'Respuestas de formulario 1'!$E:$E,$A29)&gt;0,1,0)</f>
        <v>0</v>
      </c>
      <c r="K29" s="1">
        <f>IF(COUNTIFS('Respuestas de formulario 1'!$D:$D,K$4,'Respuestas de formulario 1'!$E:$E,$A29)&gt;0,1,0)</f>
        <v>1</v>
      </c>
      <c r="L29" s="29">
        <f t="shared" si="0"/>
        <v>9</v>
      </c>
      <c r="M29" s="29">
        <f t="shared" si="1"/>
        <v>1</v>
      </c>
    </row>
    <row r="30" spans="1:13" x14ac:dyDescent="0.2">
      <c r="A30" t="s">
        <v>155</v>
      </c>
      <c r="B30" s="1">
        <f>IF(COUNTIFS('Respuestas de formulario 1'!$D:$D,B$4,'Respuestas de formulario 1'!$E:$E,$A30)&gt;0,1,0)</f>
        <v>0</v>
      </c>
      <c r="C30" s="1">
        <f>IF(COUNTIFS('Respuestas de formulario 1'!$D:$D,C$4,'Respuestas de formulario 1'!$E:$E,$A30)&gt;0,1,0)</f>
        <v>1</v>
      </c>
      <c r="D30" s="1">
        <f>IF(COUNTIFS('Respuestas de formulario 1'!$D:$D,D$4,'Respuestas de formulario 1'!$E:$E,$A30)&gt;0,1,0)</f>
        <v>1</v>
      </c>
      <c r="E30" s="1">
        <f>IF(COUNTIFS('Respuestas de formulario 1'!$D:$D,E$4,'Respuestas de formulario 1'!$E:$E,$A30)&gt;0,1,0)</f>
        <v>1</v>
      </c>
      <c r="F30" s="1">
        <f>IF(COUNTIFS('Respuestas de formulario 1'!$D:$D,F$4,'Respuestas de formulario 1'!$E:$E,$A30)&gt;0,1,0)</f>
        <v>1</v>
      </c>
      <c r="G30" s="1">
        <f>IF(COUNTIFS('Respuestas de formulario 1'!$D:$D,G$4,'Respuestas de formulario 1'!$E:$E,$A30)&gt;0,1,0)</f>
        <v>1</v>
      </c>
      <c r="H30" s="1">
        <f>IF(COUNTIFS('Respuestas de formulario 1'!$D:$D,H$4,'Respuestas de formulario 1'!$E:$E,$A30)&gt;0,1,0)</f>
        <v>1</v>
      </c>
      <c r="I30" s="1">
        <f>IF(COUNTIFS('Respuestas de formulario 1'!$D:$D,I$4,'Respuestas de formulario 1'!$E:$E,$A30)&gt;0,1,0)</f>
        <v>1</v>
      </c>
      <c r="J30" s="1">
        <f>IF(COUNTIFS('Respuestas de formulario 1'!$D:$D,J$4,'Respuestas de formulario 1'!$E:$E,$A30)&gt;0,1,0)</f>
        <v>1</v>
      </c>
      <c r="K30" s="1">
        <f>IF(COUNTIFS('Respuestas de formulario 1'!$D:$D,K$4,'Respuestas de formulario 1'!$E:$E,$A30)&gt;0,1,0)</f>
        <v>0</v>
      </c>
      <c r="L30" s="29">
        <f t="shared" si="0"/>
        <v>8</v>
      </c>
      <c r="M30" s="29">
        <f t="shared" si="1"/>
        <v>2</v>
      </c>
    </row>
    <row r="31" spans="1:13" x14ac:dyDescent="0.2">
      <c r="A31" t="s">
        <v>345</v>
      </c>
      <c r="B31" s="1">
        <f>IF(COUNTIFS('Respuestas de formulario 1'!$D:$D,B$4,'Respuestas de formulario 1'!$E:$E,$A31)&gt;0,1,0)</f>
        <v>1</v>
      </c>
      <c r="C31" s="1">
        <f>IF(COUNTIFS('Respuestas de formulario 1'!$D:$D,C$4,'Respuestas de formulario 1'!$E:$E,$A31)&gt;0,1,0)</f>
        <v>1</v>
      </c>
      <c r="D31" s="1">
        <f>IF(COUNTIFS('Respuestas de formulario 1'!$D:$D,D$4,'Respuestas de formulario 1'!$E:$E,$A31)&gt;0,1,0)</f>
        <v>0</v>
      </c>
      <c r="E31" s="1">
        <f>IF(COUNTIFS('Respuestas de formulario 1'!$D:$D,E$4,'Respuestas de formulario 1'!$E:$E,$A31)&gt;0,1,0)</f>
        <v>1</v>
      </c>
      <c r="F31" s="1">
        <f>IF(COUNTIFS('Respuestas de formulario 1'!$D:$D,F$4,'Respuestas de formulario 1'!$E:$E,$A31)&gt;0,1,0)</f>
        <v>1</v>
      </c>
      <c r="G31" s="1">
        <f>IF(COUNTIFS('Respuestas de formulario 1'!$D:$D,G$4,'Respuestas de formulario 1'!$E:$E,$A31)&gt;0,1,0)</f>
        <v>1</v>
      </c>
      <c r="H31" s="1">
        <f>IF(COUNTIFS('Respuestas de formulario 1'!$D:$D,H$4,'Respuestas de formulario 1'!$E:$E,$A31)&gt;0,1,0)</f>
        <v>1</v>
      </c>
      <c r="I31" s="1">
        <f>IF(COUNTIFS('Respuestas de formulario 1'!$D:$D,I$4,'Respuestas de formulario 1'!$E:$E,$A31)&gt;0,1,0)</f>
        <v>1</v>
      </c>
      <c r="J31" s="1">
        <f>IF(COUNTIFS('Respuestas de formulario 1'!$D:$D,J$4,'Respuestas de formulario 1'!$E:$E,$A31)&gt;0,1,0)</f>
        <v>0</v>
      </c>
      <c r="K31" s="1">
        <f>IF(COUNTIFS('Respuestas de formulario 1'!$D:$D,K$4,'Respuestas de formulario 1'!$E:$E,$A31)&gt;0,1,0)</f>
        <v>1</v>
      </c>
      <c r="L31" s="29">
        <f t="shared" si="0"/>
        <v>8</v>
      </c>
      <c r="M31" s="29">
        <f t="shared" si="1"/>
        <v>2</v>
      </c>
    </row>
    <row r="32" spans="1:13" x14ac:dyDescent="0.2">
      <c r="A32" t="s">
        <v>322</v>
      </c>
      <c r="B32" s="1">
        <f>IF(COUNTIFS('Respuestas de formulario 1'!$D:$D,B$4,'Respuestas de formulario 1'!$E:$E,$A32)&gt;0,1,0)</f>
        <v>1</v>
      </c>
      <c r="C32" s="1">
        <f>IF(COUNTIFS('Respuestas de formulario 1'!$D:$D,C$4,'Respuestas de formulario 1'!$E:$E,$A32)&gt;0,1,0)</f>
        <v>1</v>
      </c>
      <c r="D32" s="1">
        <f>IF(COUNTIFS('Respuestas de formulario 1'!$D:$D,D$4,'Respuestas de formulario 1'!$E:$E,$A32)&gt;0,1,0)</f>
        <v>1</v>
      </c>
      <c r="E32" s="1">
        <f>IF(COUNTIFS('Respuestas de formulario 1'!$D:$D,E$4,'Respuestas de formulario 1'!$E:$E,$A32)&gt;0,1,0)</f>
        <v>1</v>
      </c>
      <c r="F32" s="1">
        <f>IF(COUNTIFS('Respuestas de formulario 1'!$D:$D,F$4,'Respuestas de formulario 1'!$E:$E,$A32)&gt;0,1,0)</f>
        <v>1</v>
      </c>
      <c r="G32" s="1">
        <f>IF(COUNTIFS('Respuestas de formulario 1'!$D:$D,G$4,'Respuestas de formulario 1'!$E:$E,$A32)&gt;0,1,0)</f>
        <v>1</v>
      </c>
      <c r="H32" s="1">
        <f>IF(COUNTIFS('Respuestas de formulario 1'!$D:$D,H$4,'Respuestas de formulario 1'!$E:$E,$A32)&gt;0,1,0)</f>
        <v>1</v>
      </c>
      <c r="I32" s="1">
        <f>IF(COUNTIFS('Respuestas de formulario 1'!$D:$D,I$4,'Respuestas de formulario 1'!$E:$E,$A32)&gt;0,1,0)</f>
        <v>1</v>
      </c>
      <c r="J32" s="1">
        <f>IF(COUNTIFS('Respuestas de formulario 1'!$D:$D,J$4,'Respuestas de formulario 1'!$E:$E,$A32)&gt;0,1,0)</f>
        <v>1</v>
      </c>
      <c r="K32" s="1">
        <f>IF(COUNTIFS('Respuestas de formulario 1'!$D:$D,K$4,'Respuestas de formulario 1'!$E:$E,$A32)&gt;0,1,0)</f>
        <v>1</v>
      </c>
      <c r="L32" s="29">
        <f t="shared" si="0"/>
        <v>10</v>
      </c>
      <c r="M32" s="29">
        <f t="shared" si="1"/>
        <v>0</v>
      </c>
    </row>
    <row r="33" spans="1:13" x14ac:dyDescent="0.2">
      <c r="A33" t="s">
        <v>379</v>
      </c>
      <c r="B33" s="1">
        <f>IF(COUNTIFS('Respuestas de formulario 1'!$D:$D,B$4,'Respuestas de formulario 1'!$E:$E,$A33)&gt;0,1,0)</f>
        <v>0</v>
      </c>
      <c r="C33" s="1">
        <f>IF(COUNTIFS('Respuestas de formulario 1'!$D:$D,C$4,'Respuestas de formulario 1'!$E:$E,$A33)&gt;0,1,0)</f>
        <v>0</v>
      </c>
      <c r="D33" s="1">
        <f>IF(COUNTIFS('Respuestas de formulario 1'!$D:$D,D$4,'Respuestas de formulario 1'!$E:$E,$A33)&gt;0,1,0)</f>
        <v>0</v>
      </c>
      <c r="E33" s="1">
        <f>IF(COUNTIFS('Respuestas de formulario 1'!$D:$D,E$4,'Respuestas de formulario 1'!$E:$E,$A33)&gt;0,1,0)</f>
        <v>0</v>
      </c>
      <c r="F33" s="1">
        <f>IF(COUNTIFS('Respuestas de formulario 1'!$D:$D,F$4,'Respuestas de formulario 1'!$E:$E,$A33)&gt;0,1,0)</f>
        <v>0</v>
      </c>
      <c r="G33" s="1">
        <f>IF(COUNTIFS('Respuestas de formulario 1'!$D:$D,G$4,'Respuestas de formulario 1'!$E:$E,$A33)&gt;0,1,0)</f>
        <v>0</v>
      </c>
      <c r="H33" s="1">
        <f>IF(COUNTIFS('Respuestas de formulario 1'!$D:$D,H$4,'Respuestas de formulario 1'!$E:$E,$A33)&gt;0,1,0)</f>
        <v>0</v>
      </c>
      <c r="I33" s="1">
        <f>IF(COUNTIFS('Respuestas de formulario 1'!$D:$D,I$4,'Respuestas de formulario 1'!$E:$E,$A33)&gt;0,1,0)</f>
        <v>0</v>
      </c>
      <c r="J33" s="1">
        <f>IF(COUNTIFS('Respuestas de formulario 1'!$D:$D,J$4,'Respuestas de formulario 1'!$E:$E,$A33)&gt;0,1,0)</f>
        <v>0</v>
      </c>
      <c r="K33" s="1">
        <f>IF(COUNTIFS('Respuestas de formulario 1'!$D:$D,K$4,'Respuestas de formulario 1'!$E:$E,$A33)&gt;0,1,0)</f>
        <v>0</v>
      </c>
      <c r="L33" s="29">
        <f t="shared" si="0"/>
        <v>0</v>
      </c>
      <c r="M33" s="29">
        <f t="shared" si="1"/>
        <v>10</v>
      </c>
    </row>
    <row r="34" spans="1:13" x14ac:dyDescent="0.2">
      <c r="A34" t="s">
        <v>350</v>
      </c>
      <c r="B34" s="1">
        <f>IF(COUNTIFS('Respuestas de formulario 1'!$D:$D,B$4,'Respuestas de formulario 1'!$E:$E,$A34)&gt;0,1,0)</f>
        <v>0</v>
      </c>
      <c r="C34" s="1">
        <f>IF(COUNTIFS('Respuestas de formulario 1'!$D:$D,C$4,'Respuestas de formulario 1'!$E:$E,$A34)&gt;0,1,0)</f>
        <v>1</v>
      </c>
      <c r="D34" s="1">
        <f>IF(COUNTIFS('Respuestas de formulario 1'!$D:$D,D$4,'Respuestas de formulario 1'!$E:$E,$A34)&gt;0,1,0)</f>
        <v>1</v>
      </c>
      <c r="E34" s="1">
        <f>IF(COUNTIFS('Respuestas de formulario 1'!$D:$D,E$4,'Respuestas de formulario 1'!$E:$E,$A34)&gt;0,1,0)</f>
        <v>1</v>
      </c>
      <c r="F34" s="1">
        <f>IF(COUNTIFS('Respuestas de formulario 1'!$D:$D,F$4,'Respuestas de formulario 1'!$E:$E,$A34)&gt;0,1,0)</f>
        <v>1</v>
      </c>
      <c r="G34" s="1">
        <f>IF(COUNTIFS('Respuestas de formulario 1'!$D:$D,G$4,'Respuestas de formulario 1'!$E:$E,$A34)&gt;0,1,0)</f>
        <v>1</v>
      </c>
      <c r="H34" s="1">
        <f>IF(COUNTIFS('Respuestas de formulario 1'!$D:$D,H$4,'Respuestas de formulario 1'!$E:$E,$A34)&gt;0,1,0)</f>
        <v>1</v>
      </c>
      <c r="I34" s="1">
        <f>IF(COUNTIFS('Respuestas de formulario 1'!$D:$D,I$4,'Respuestas de formulario 1'!$E:$E,$A34)&gt;0,1,0)</f>
        <v>1</v>
      </c>
      <c r="J34" s="1">
        <f>IF(COUNTIFS('Respuestas de formulario 1'!$D:$D,J$4,'Respuestas de formulario 1'!$E:$E,$A34)&gt;0,1,0)</f>
        <v>1</v>
      </c>
      <c r="K34" s="1">
        <f>IF(COUNTIFS('Respuestas de formulario 1'!$D:$D,K$4,'Respuestas de formulario 1'!$E:$E,$A34)&gt;0,1,0)</f>
        <v>1</v>
      </c>
      <c r="L34" s="29">
        <f t="shared" si="0"/>
        <v>9</v>
      </c>
      <c r="M34" s="29">
        <f t="shared" si="1"/>
        <v>1</v>
      </c>
    </row>
    <row r="35" spans="1:13" x14ac:dyDescent="0.2">
      <c r="A35" t="s">
        <v>329</v>
      </c>
      <c r="B35" s="1">
        <f>IF(COUNTIFS('Respuestas de formulario 1'!$D:$D,B$4,'Respuestas de formulario 1'!$E:$E,$A35)&gt;0,1,0)</f>
        <v>1</v>
      </c>
      <c r="C35" s="1">
        <f>IF(COUNTIFS('Respuestas de formulario 1'!$D:$D,C$4,'Respuestas de formulario 1'!$E:$E,$A35)&gt;0,1,0)</f>
        <v>1</v>
      </c>
      <c r="D35" s="1">
        <f>IF(COUNTIFS('Respuestas de formulario 1'!$D:$D,D$4,'Respuestas de formulario 1'!$E:$E,$A35)&gt;0,1,0)</f>
        <v>1</v>
      </c>
      <c r="E35" s="1">
        <f>IF(COUNTIFS('Respuestas de formulario 1'!$D:$D,E$4,'Respuestas de formulario 1'!$E:$E,$A35)&gt;0,1,0)</f>
        <v>1</v>
      </c>
      <c r="F35" s="1">
        <f>IF(COUNTIFS('Respuestas de formulario 1'!$D:$D,F$4,'Respuestas de formulario 1'!$E:$E,$A35)&gt;0,1,0)</f>
        <v>1</v>
      </c>
      <c r="G35" s="1">
        <f>IF(COUNTIFS('Respuestas de formulario 1'!$D:$D,G$4,'Respuestas de formulario 1'!$E:$E,$A35)&gt;0,1,0)</f>
        <v>1</v>
      </c>
      <c r="H35" s="1">
        <f>IF(COUNTIFS('Respuestas de formulario 1'!$D:$D,H$4,'Respuestas de formulario 1'!$E:$E,$A35)&gt;0,1,0)</f>
        <v>1</v>
      </c>
      <c r="I35" s="1">
        <f>IF(COUNTIFS('Respuestas de formulario 1'!$D:$D,I$4,'Respuestas de formulario 1'!$E:$E,$A35)&gt;0,1,0)</f>
        <v>1</v>
      </c>
      <c r="J35" s="1">
        <f>IF(COUNTIFS('Respuestas de formulario 1'!$D:$D,J$4,'Respuestas de formulario 1'!$E:$E,$A35)&gt;0,1,0)</f>
        <v>1</v>
      </c>
      <c r="K35" s="1">
        <f>IF(COUNTIFS('Respuestas de formulario 1'!$D:$D,K$4,'Respuestas de formulario 1'!$E:$E,$A35)&gt;0,1,0)</f>
        <v>1</v>
      </c>
      <c r="L35" s="29">
        <f t="shared" si="0"/>
        <v>10</v>
      </c>
      <c r="M35" s="29">
        <f t="shared" si="1"/>
        <v>0</v>
      </c>
    </row>
    <row r="36" spans="1:13" x14ac:dyDescent="0.2">
      <c r="A36" t="s">
        <v>321</v>
      </c>
      <c r="B36" s="1">
        <f>IF(COUNTIFS('Respuestas de formulario 1'!$D:$D,B$4,'Respuestas de formulario 1'!$E:$E,$A36)&gt;0,1,0)</f>
        <v>1</v>
      </c>
      <c r="C36" s="1">
        <f>IF(COUNTIFS('Respuestas de formulario 1'!$D:$D,C$4,'Respuestas de formulario 1'!$E:$E,$A36)&gt;0,1,0)</f>
        <v>1</v>
      </c>
      <c r="D36" s="1">
        <f>IF(COUNTIFS('Respuestas de formulario 1'!$D:$D,D$4,'Respuestas de formulario 1'!$E:$E,$A36)&gt;0,1,0)</f>
        <v>1</v>
      </c>
      <c r="E36" s="1">
        <f>IF(COUNTIFS('Respuestas de formulario 1'!$D:$D,E$4,'Respuestas de formulario 1'!$E:$E,$A36)&gt;0,1,0)</f>
        <v>1</v>
      </c>
      <c r="F36" s="1">
        <f>IF(COUNTIFS('Respuestas de formulario 1'!$D:$D,F$4,'Respuestas de formulario 1'!$E:$E,$A36)&gt;0,1,0)</f>
        <v>0</v>
      </c>
      <c r="G36" s="1">
        <f>IF(COUNTIFS('Respuestas de formulario 1'!$D:$D,G$4,'Respuestas de formulario 1'!$E:$E,$A36)&gt;0,1,0)</f>
        <v>1</v>
      </c>
      <c r="H36" s="1">
        <f>IF(COUNTIFS('Respuestas de formulario 1'!$D:$D,H$4,'Respuestas de formulario 1'!$E:$E,$A36)&gt;0,1,0)</f>
        <v>1</v>
      </c>
      <c r="I36" s="1">
        <f>IF(COUNTIFS('Respuestas de formulario 1'!$D:$D,I$4,'Respuestas de formulario 1'!$E:$E,$A36)&gt;0,1,0)</f>
        <v>0</v>
      </c>
      <c r="J36" s="1">
        <f>IF(COUNTIFS('Respuestas de formulario 1'!$D:$D,J$4,'Respuestas de formulario 1'!$E:$E,$A36)&gt;0,1,0)</f>
        <v>0</v>
      </c>
      <c r="K36" s="1">
        <f>IF(COUNTIFS('Respuestas de formulario 1'!$D:$D,K$4,'Respuestas de formulario 1'!$E:$E,$A36)&gt;0,1,0)</f>
        <v>0</v>
      </c>
      <c r="L36" s="29">
        <f t="shared" si="0"/>
        <v>6</v>
      </c>
      <c r="M36" s="29">
        <f t="shared" si="1"/>
        <v>4</v>
      </c>
    </row>
    <row r="37" spans="1:13" x14ac:dyDescent="0.2">
      <c r="A37" t="s">
        <v>351</v>
      </c>
      <c r="B37" s="1">
        <f>IF(COUNTIFS('Respuestas de formulario 1'!$D:$D,B$4,'Respuestas de formulario 1'!$E:$E,$A37)&gt;0,1,0)</f>
        <v>0</v>
      </c>
      <c r="C37" s="1">
        <f>IF(COUNTIFS('Respuestas de formulario 1'!$D:$D,C$4,'Respuestas de formulario 1'!$E:$E,$A37)&gt;0,1,0)</f>
        <v>1</v>
      </c>
      <c r="D37" s="1">
        <f>IF(COUNTIFS('Respuestas de formulario 1'!$D:$D,D$4,'Respuestas de formulario 1'!$E:$E,$A37)&gt;0,1,0)</f>
        <v>1</v>
      </c>
      <c r="E37" s="1">
        <f>IF(COUNTIFS('Respuestas de formulario 1'!$D:$D,E$4,'Respuestas de formulario 1'!$E:$E,$A37)&gt;0,1,0)</f>
        <v>1</v>
      </c>
      <c r="F37" s="1">
        <f>IF(COUNTIFS('Respuestas de formulario 1'!$D:$D,F$4,'Respuestas de formulario 1'!$E:$E,$A37)&gt;0,1,0)</f>
        <v>0</v>
      </c>
      <c r="G37" s="1">
        <f>IF(COUNTIFS('Respuestas de formulario 1'!$D:$D,G$4,'Respuestas de formulario 1'!$E:$E,$A37)&gt;0,1,0)</f>
        <v>1</v>
      </c>
      <c r="H37" s="1">
        <f>IF(COUNTIFS('Respuestas de formulario 1'!$D:$D,H$4,'Respuestas de formulario 1'!$E:$E,$A37)&gt;0,1,0)</f>
        <v>1</v>
      </c>
      <c r="I37" s="1">
        <f>IF(COUNTIFS('Respuestas de formulario 1'!$D:$D,I$4,'Respuestas de formulario 1'!$E:$E,$A37)&gt;0,1,0)</f>
        <v>1</v>
      </c>
      <c r="J37" s="1">
        <f>IF(COUNTIFS('Respuestas de formulario 1'!$D:$D,J$4,'Respuestas de formulario 1'!$E:$E,$A37)&gt;0,1,0)</f>
        <v>1</v>
      </c>
      <c r="K37" s="1">
        <f>IF(COUNTIFS('Respuestas de formulario 1'!$D:$D,K$4,'Respuestas de formulario 1'!$E:$E,$A37)&gt;0,1,0)</f>
        <v>0</v>
      </c>
      <c r="L37" s="29">
        <f t="shared" si="0"/>
        <v>7</v>
      </c>
      <c r="M37" s="29">
        <f t="shared" si="1"/>
        <v>3</v>
      </c>
    </row>
    <row r="38" spans="1:13" x14ac:dyDescent="0.2">
      <c r="A38" t="s">
        <v>44</v>
      </c>
      <c r="B38" s="1">
        <f>IF(COUNTIFS('Respuestas de formulario 1'!$D:$D,B$4,'Respuestas de formulario 1'!$E:$E,$A38)&gt;0,1,0)</f>
        <v>1</v>
      </c>
      <c r="C38" s="1">
        <f>IF(COUNTIFS('Respuestas de formulario 1'!$D:$D,C$4,'Respuestas de formulario 1'!$E:$E,$A38)&gt;0,1,0)</f>
        <v>1</v>
      </c>
      <c r="D38" s="1">
        <f>IF(COUNTIFS('Respuestas de formulario 1'!$D:$D,D$4,'Respuestas de formulario 1'!$E:$E,$A38)&gt;0,1,0)</f>
        <v>0</v>
      </c>
      <c r="E38" s="1">
        <f>IF(COUNTIFS('Respuestas de formulario 1'!$D:$D,E$4,'Respuestas de formulario 1'!$E:$E,$A38)&gt;0,1,0)</f>
        <v>1</v>
      </c>
      <c r="F38" s="1">
        <f>IF(COUNTIFS('Respuestas de formulario 1'!$D:$D,F$4,'Respuestas de formulario 1'!$E:$E,$A38)&gt;0,1,0)</f>
        <v>1</v>
      </c>
      <c r="G38" s="1">
        <f>IF(COUNTIFS('Respuestas de formulario 1'!$D:$D,G$4,'Respuestas de formulario 1'!$E:$E,$A38)&gt;0,1,0)</f>
        <v>0</v>
      </c>
      <c r="H38" s="1">
        <f>IF(COUNTIFS('Respuestas de formulario 1'!$D:$D,H$4,'Respuestas de formulario 1'!$E:$E,$A38)&gt;0,1,0)</f>
        <v>1</v>
      </c>
      <c r="I38" s="1">
        <f>IF(COUNTIFS('Respuestas de formulario 1'!$D:$D,I$4,'Respuestas de formulario 1'!$E:$E,$A38)&gt;0,1,0)</f>
        <v>1</v>
      </c>
      <c r="J38" s="1">
        <f>IF(COUNTIFS('Respuestas de formulario 1'!$D:$D,J$4,'Respuestas de formulario 1'!$E:$E,$A38)&gt;0,1,0)</f>
        <v>1</v>
      </c>
      <c r="K38" s="1">
        <f>IF(COUNTIFS('Respuestas de formulario 1'!$D:$D,K$4,'Respuestas de formulario 1'!$E:$E,$A38)&gt;0,1,0)</f>
        <v>1</v>
      </c>
      <c r="L38" s="29">
        <f t="shared" si="0"/>
        <v>8</v>
      </c>
      <c r="M38" s="29">
        <f t="shared" si="1"/>
        <v>2</v>
      </c>
    </row>
    <row r="39" spans="1:13" x14ac:dyDescent="0.2">
      <c r="A39" t="s">
        <v>380</v>
      </c>
      <c r="B39" s="1">
        <f>IF(COUNTIFS('Respuestas de formulario 1'!$D:$D,B$4,'Respuestas de formulario 1'!$E:$E,$A39)&gt;0,1,0)</f>
        <v>0</v>
      </c>
      <c r="C39" s="1">
        <f>IF(COUNTIFS('Respuestas de formulario 1'!$D:$D,C$4,'Respuestas de formulario 1'!$E:$E,$A39)&gt;0,1,0)</f>
        <v>0</v>
      </c>
      <c r="D39" s="1">
        <f>IF(COUNTIFS('Respuestas de formulario 1'!$D:$D,D$4,'Respuestas de formulario 1'!$E:$E,$A39)&gt;0,1,0)</f>
        <v>0</v>
      </c>
      <c r="E39" s="1">
        <f>IF(COUNTIFS('Respuestas de formulario 1'!$D:$D,E$4,'Respuestas de formulario 1'!$E:$E,$A39)&gt;0,1,0)</f>
        <v>0</v>
      </c>
      <c r="F39" s="1">
        <f>IF(COUNTIFS('Respuestas de formulario 1'!$D:$D,F$4,'Respuestas de formulario 1'!$E:$E,$A39)&gt;0,1,0)</f>
        <v>0</v>
      </c>
      <c r="G39" s="1">
        <f>IF(COUNTIFS('Respuestas de formulario 1'!$D:$D,G$4,'Respuestas de formulario 1'!$E:$E,$A39)&gt;0,1,0)</f>
        <v>0</v>
      </c>
      <c r="H39" s="1">
        <f>IF(COUNTIFS('Respuestas de formulario 1'!$D:$D,H$4,'Respuestas de formulario 1'!$E:$E,$A39)&gt;0,1,0)</f>
        <v>0</v>
      </c>
      <c r="I39" s="1">
        <f>IF(COUNTIFS('Respuestas de formulario 1'!$D:$D,I$4,'Respuestas de formulario 1'!$E:$E,$A39)&gt;0,1,0)</f>
        <v>0</v>
      </c>
      <c r="J39" s="1">
        <f>IF(COUNTIFS('Respuestas de formulario 1'!$D:$D,J$4,'Respuestas de formulario 1'!$E:$E,$A39)&gt;0,1,0)</f>
        <v>0</v>
      </c>
      <c r="K39" s="1">
        <f>IF(COUNTIFS('Respuestas de formulario 1'!$D:$D,K$4,'Respuestas de formulario 1'!$E:$E,$A39)&gt;0,1,0)</f>
        <v>0</v>
      </c>
      <c r="L39" s="29">
        <f t="shared" si="0"/>
        <v>0</v>
      </c>
      <c r="M39" s="29">
        <f t="shared" si="1"/>
        <v>10</v>
      </c>
    </row>
    <row r="40" spans="1:13" x14ac:dyDescent="0.2">
      <c r="A40" t="s">
        <v>352</v>
      </c>
      <c r="B40" s="1">
        <f>IF(COUNTIFS('Respuestas de formulario 1'!$D:$D,B$4,'Respuestas de formulario 1'!$E:$E,$A40)&gt;0,1,0)</f>
        <v>0</v>
      </c>
      <c r="C40" s="1">
        <f>IF(COUNTIFS('Respuestas de formulario 1'!$D:$D,C$4,'Respuestas de formulario 1'!$E:$E,$A40)&gt;0,1,0)</f>
        <v>1</v>
      </c>
      <c r="D40" s="1">
        <f>IF(COUNTIFS('Respuestas de formulario 1'!$D:$D,D$4,'Respuestas de formulario 1'!$E:$E,$A40)&gt;0,1,0)</f>
        <v>1</v>
      </c>
      <c r="E40" s="1">
        <f>IF(COUNTIFS('Respuestas de formulario 1'!$D:$D,E$4,'Respuestas de formulario 1'!$E:$E,$A40)&gt;0,1,0)</f>
        <v>1</v>
      </c>
      <c r="F40" s="1">
        <f>IF(COUNTIFS('Respuestas de formulario 1'!$D:$D,F$4,'Respuestas de formulario 1'!$E:$E,$A40)&gt;0,1,0)</f>
        <v>1</v>
      </c>
      <c r="G40" s="1">
        <f>IF(COUNTIFS('Respuestas de formulario 1'!$D:$D,G$4,'Respuestas de formulario 1'!$E:$E,$A40)&gt;0,1,0)</f>
        <v>1</v>
      </c>
      <c r="H40" s="1">
        <f>IF(COUNTIFS('Respuestas de formulario 1'!$D:$D,H$4,'Respuestas de formulario 1'!$E:$E,$A40)&gt;0,1,0)</f>
        <v>0</v>
      </c>
      <c r="I40" s="1">
        <f>IF(COUNTIFS('Respuestas de formulario 1'!$D:$D,I$4,'Respuestas de formulario 1'!$E:$E,$A40)&gt;0,1,0)</f>
        <v>1</v>
      </c>
      <c r="J40" s="1">
        <f>IF(COUNTIFS('Respuestas de formulario 1'!$D:$D,J$4,'Respuestas de formulario 1'!$E:$E,$A40)&gt;0,1,0)</f>
        <v>0</v>
      </c>
      <c r="K40" s="1">
        <f>IF(COUNTIFS('Respuestas de formulario 1'!$D:$D,K$4,'Respuestas de formulario 1'!$E:$E,$A40)&gt;0,1,0)</f>
        <v>0</v>
      </c>
      <c r="L40" s="29">
        <f t="shared" si="0"/>
        <v>6</v>
      </c>
      <c r="M40" s="29">
        <f t="shared" si="1"/>
        <v>4</v>
      </c>
    </row>
    <row r="41" spans="1:13" x14ac:dyDescent="0.2">
      <c r="A41" t="s">
        <v>349</v>
      </c>
      <c r="B41" s="1">
        <f>IF(COUNTIFS('Respuestas de formulario 1'!$D:$D,B$4,'Respuestas de formulario 1'!$E:$E,$A41)&gt;0,1,0)</f>
        <v>0</v>
      </c>
      <c r="C41" s="1">
        <f>IF(COUNTIFS('Respuestas de formulario 1'!$D:$D,C$4,'Respuestas de formulario 1'!$E:$E,$A41)&gt;0,1,0)</f>
        <v>1</v>
      </c>
      <c r="D41" s="1">
        <f>IF(COUNTIFS('Respuestas de formulario 1'!$D:$D,D$4,'Respuestas de formulario 1'!$E:$E,$A41)&gt;0,1,0)</f>
        <v>1</v>
      </c>
      <c r="E41" s="1">
        <f>IF(COUNTIFS('Respuestas de formulario 1'!$D:$D,E$4,'Respuestas de formulario 1'!$E:$E,$A41)&gt;0,1,0)</f>
        <v>1</v>
      </c>
      <c r="F41" s="1">
        <f>IF(COUNTIFS('Respuestas de formulario 1'!$D:$D,F$4,'Respuestas de formulario 1'!$E:$E,$A41)&gt;0,1,0)</f>
        <v>1</v>
      </c>
      <c r="G41" s="1">
        <f>IF(COUNTIFS('Respuestas de formulario 1'!$D:$D,G$4,'Respuestas de formulario 1'!$E:$E,$A41)&gt;0,1,0)</f>
        <v>1</v>
      </c>
      <c r="H41" s="1">
        <f>IF(COUNTIFS('Respuestas de formulario 1'!$D:$D,H$4,'Respuestas de formulario 1'!$E:$E,$A41)&gt;0,1,0)</f>
        <v>1</v>
      </c>
      <c r="I41" s="1">
        <f>IF(COUNTIFS('Respuestas de formulario 1'!$D:$D,I$4,'Respuestas de formulario 1'!$E:$E,$A41)&gt;0,1,0)</f>
        <v>1</v>
      </c>
      <c r="J41" s="1">
        <f>IF(COUNTIFS('Respuestas de formulario 1'!$D:$D,J$4,'Respuestas de formulario 1'!$E:$E,$A41)&gt;0,1,0)</f>
        <v>1</v>
      </c>
      <c r="K41" s="1">
        <f>IF(COUNTIFS('Respuestas de formulario 1'!$D:$D,K$4,'Respuestas de formulario 1'!$E:$E,$A41)&gt;0,1,0)</f>
        <v>1</v>
      </c>
      <c r="L41" s="29">
        <f t="shared" si="0"/>
        <v>9</v>
      </c>
      <c r="M41" s="29">
        <f t="shared" si="1"/>
        <v>1</v>
      </c>
    </row>
    <row r="42" spans="1:13" x14ac:dyDescent="0.2">
      <c r="A42" t="s">
        <v>355</v>
      </c>
      <c r="B42" s="1">
        <f>IF(COUNTIFS('Respuestas de formulario 1'!$D:$D,B$4,'Respuestas de formulario 1'!$E:$E,$A42)&gt;0,1,0)</f>
        <v>0</v>
      </c>
      <c r="C42" s="1">
        <f>IF(COUNTIFS('Respuestas de formulario 1'!$D:$D,C$4,'Respuestas de formulario 1'!$E:$E,$A42)&gt;0,1,0)</f>
        <v>1</v>
      </c>
      <c r="D42" s="1">
        <f>IF(COUNTIFS('Respuestas de formulario 1'!$D:$D,D$4,'Respuestas de formulario 1'!$E:$E,$A42)&gt;0,1,0)</f>
        <v>0</v>
      </c>
      <c r="E42" s="1">
        <f>IF(COUNTIFS('Respuestas de formulario 1'!$D:$D,E$4,'Respuestas de formulario 1'!$E:$E,$A42)&gt;0,1,0)</f>
        <v>1</v>
      </c>
      <c r="F42" s="1">
        <f>IF(COUNTIFS('Respuestas de formulario 1'!$D:$D,F$4,'Respuestas de formulario 1'!$E:$E,$A42)&gt;0,1,0)</f>
        <v>1</v>
      </c>
      <c r="G42" s="1">
        <f>IF(COUNTIFS('Respuestas de formulario 1'!$D:$D,G$4,'Respuestas de formulario 1'!$E:$E,$A42)&gt;0,1,0)</f>
        <v>0</v>
      </c>
      <c r="H42" s="1">
        <f>IF(COUNTIFS('Respuestas de formulario 1'!$D:$D,H$4,'Respuestas de formulario 1'!$E:$E,$A42)&gt;0,1,0)</f>
        <v>0</v>
      </c>
      <c r="I42" s="1">
        <f>IF(COUNTIFS('Respuestas de formulario 1'!$D:$D,I$4,'Respuestas de formulario 1'!$E:$E,$A42)&gt;0,1,0)</f>
        <v>1</v>
      </c>
      <c r="J42" s="1">
        <f>IF(COUNTIFS('Respuestas de formulario 1'!$D:$D,J$4,'Respuestas de formulario 1'!$E:$E,$A42)&gt;0,1,0)</f>
        <v>0</v>
      </c>
      <c r="K42" s="1">
        <f>IF(COUNTIFS('Respuestas de formulario 1'!$D:$D,K$4,'Respuestas de formulario 1'!$E:$E,$A42)&gt;0,1,0)</f>
        <v>0</v>
      </c>
      <c r="L42" s="29">
        <f t="shared" si="0"/>
        <v>4</v>
      </c>
      <c r="M42" s="29">
        <f t="shared" si="1"/>
        <v>6</v>
      </c>
    </row>
    <row r="43" spans="1:13" x14ac:dyDescent="0.2">
      <c r="A43" t="s">
        <v>340</v>
      </c>
      <c r="B43" s="1">
        <f>IF(COUNTIFS('Respuestas de formulario 1'!$D:$D,B$4,'Respuestas de formulario 1'!$E:$E,$A43)&gt;0,1,0)</f>
        <v>1</v>
      </c>
      <c r="C43" s="1">
        <f>IF(COUNTIFS('Respuestas de formulario 1'!$D:$D,C$4,'Respuestas de formulario 1'!$E:$E,$A43)&gt;0,1,0)</f>
        <v>1</v>
      </c>
      <c r="D43" s="1">
        <f>IF(COUNTIFS('Respuestas de formulario 1'!$D:$D,D$4,'Respuestas de formulario 1'!$E:$E,$A43)&gt;0,1,0)</f>
        <v>1</v>
      </c>
      <c r="E43" s="1">
        <f>IF(COUNTIFS('Respuestas de formulario 1'!$D:$D,E$4,'Respuestas de formulario 1'!$E:$E,$A43)&gt;0,1,0)</f>
        <v>1</v>
      </c>
      <c r="F43" s="1">
        <f>IF(COUNTIFS('Respuestas de formulario 1'!$D:$D,F$4,'Respuestas de formulario 1'!$E:$E,$A43)&gt;0,1,0)</f>
        <v>1</v>
      </c>
      <c r="G43" s="1">
        <f>IF(COUNTIFS('Respuestas de formulario 1'!$D:$D,G$4,'Respuestas de formulario 1'!$E:$E,$A43)&gt;0,1,0)</f>
        <v>1</v>
      </c>
      <c r="H43" s="1">
        <f>IF(COUNTIFS('Respuestas de formulario 1'!$D:$D,H$4,'Respuestas de formulario 1'!$E:$E,$A43)&gt;0,1,0)</f>
        <v>1</v>
      </c>
      <c r="I43" s="1">
        <f>IF(COUNTIFS('Respuestas de formulario 1'!$D:$D,I$4,'Respuestas de formulario 1'!$E:$E,$A43)&gt;0,1,0)</f>
        <v>1</v>
      </c>
      <c r="J43" s="1">
        <f>IF(COUNTIFS('Respuestas de formulario 1'!$D:$D,J$4,'Respuestas de formulario 1'!$E:$E,$A43)&gt;0,1,0)</f>
        <v>0</v>
      </c>
      <c r="K43" s="1">
        <f>IF(COUNTIFS('Respuestas de formulario 1'!$D:$D,K$4,'Respuestas de formulario 1'!$E:$E,$A43)&gt;0,1,0)</f>
        <v>1</v>
      </c>
      <c r="L43" s="29">
        <f t="shared" si="0"/>
        <v>9</v>
      </c>
      <c r="M43" s="29">
        <f t="shared" si="1"/>
        <v>1</v>
      </c>
    </row>
    <row r="44" spans="1:13" x14ac:dyDescent="0.2">
      <c r="A44" t="s">
        <v>335</v>
      </c>
      <c r="B44" s="1">
        <f>IF(COUNTIFS('Respuestas de formulario 1'!$D:$D,B$4,'Respuestas de formulario 1'!$E:$E,$A44)&gt;0,1,0)</f>
        <v>1</v>
      </c>
      <c r="C44" s="1">
        <f>IF(COUNTIFS('Respuestas de formulario 1'!$D:$D,C$4,'Respuestas de formulario 1'!$E:$E,$A44)&gt;0,1,0)</f>
        <v>1</v>
      </c>
      <c r="D44" s="1">
        <f>IF(COUNTIFS('Respuestas de formulario 1'!$D:$D,D$4,'Respuestas de formulario 1'!$E:$E,$A44)&gt;0,1,0)</f>
        <v>1</v>
      </c>
      <c r="E44" s="1">
        <f>IF(COUNTIFS('Respuestas de formulario 1'!$D:$D,E$4,'Respuestas de formulario 1'!$E:$E,$A44)&gt;0,1,0)</f>
        <v>1</v>
      </c>
      <c r="F44" s="1">
        <f>IF(COUNTIFS('Respuestas de formulario 1'!$D:$D,F$4,'Respuestas de formulario 1'!$E:$E,$A44)&gt;0,1,0)</f>
        <v>1</v>
      </c>
      <c r="G44" s="1">
        <f>IF(COUNTIFS('Respuestas de formulario 1'!$D:$D,G$4,'Respuestas de formulario 1'!$E:$E,$A44)&gt;0,1,0)</f>
        <v>1</v>
      </c>
      <c r="H44" s="1">
        <f>IF(COUNTIFS('Respuestas de formulario 1'!$D:$D,H$4,'Respuestas de formulario 1'!$E:$E,$A44)&gt;0,1,0)</f>
        <v>1</v>
      </c>
      <c r="I44" s="1">
        <f>IF(COUNTIFS('Respuestas de formulario 1'!$D:$D,I$4,'Respuestas de formulario 1'!$E:$E,$A44)&gt;0,1,0)</f>
        <v>1</v>
      </c>
      <c r="J44" s="1">
        <f>IF(COUNTIFS('Respuestas de formulario 1'!$D:$D,J$4,'Respuestas de formulario 1'!$E:$E,$A44)&gt;0,1,0)</f>
        <v>1</v>
      </c>
      <c r="K44" s="1">
        <f>IF(COUNTIFS('Respuestas de formulario 1'!$D:$D,K$4,'Respuestas de formulario 1'!$E:$E,$A44)&gt;0,1,0)</f>
        <v>1</v>
      </c>
      <c r="L44" s="29">
        <f t="shared" si="0"/>
        <v>10</v>
      </c>
      <c r="M44" s="29">
        <f t="shared" si="1"/>
        <v>0</v>
      </c>
    </row>
    <row r="45" spans="1:13" x14ac:dyDescent="0.2">
      <c r="A45" t="s">
        <v>333</v>
      </c>
      <c r="B45" s="1">
        <f>IF(COUNTIFS('Respuestas de formulario 1'!$D:$D,B$4,'Respuestas de formulario 1'!$E:$E,$A45)&gt;0,1,0)</f>
        <v>1</v>
      </c>
      <c r="C45" s="1">
        <f>IF(COUNTIFS('Respuestas de formulario 1'!$D:$D,C$4,'Respuestas de formulario 1'!$E:$E,$A45)&gt;0,1,0)</f>
        <v>1</v>
      </c>
      <c r="D45" s="1">
        <f>IF(COUNTIFS('Respuestas de formulario 1'!$D:$D,D$4,'Respuestas de formulario 1'!$E:$E,$A45)&gt;0,1,0)</f>
        <v>1</v>
      </c>
      <c r="E45" s="1">
        <f>IF(COUNTIFS('Respuestas de formulario 1'!$D:$D,E$4,'Respuestas de formulario 1'!$E:$E,$A45)&gt;0,1,0)</f>
        <v>1</v>
      </c>
      <c r="F45" s="1">
        <f>IF(COUNTIFS('Respuestas de formulario 1'!$D:$D,F$4,'Respuestas de formulario 1'!$E:$E,$A45)&gt;0,1,0)</f>
        <v>1</v>
      </c>
      <c r="G45" s="1">
        <f>IF(COUNTIFS('Respuestas de formulario 1'!$D:$D,G$4,'Respuestas de formulario 1'!$E:$E,$A45)&gt;0,1,0)</f>
        <v>1</v>
      </c>
      <c r="H45" s="1">
        <f>IF(COUNTIFS('Respuestas de formulario 1'!$D:$D,H$4,'Respuestas de formulario 1'!$E:$E,$A45)&gt;0,1,0)</f>
        <v>1</v>
      </c>
      <c r="I45" s="1">
        <f>IF(COUNTIFS('Respuestas de formulario 1'!$D:$D,I$4,'Respuestas de formulario 1'!$E:$E,$A45)&gt;0,1,0)</f>
        <v>1</v>
      </c>
      <c r="J45" s="1">
        <f>IF(COUNTIFS('Respuestas de formulario 1'!$D:$D,J$4,'Respuestas de formulario 1'!$E:$E,$A45)&gt;0,1,0)</f>
        <v>1</v>
      </c>
      <c r="K45" s="1">
        <f>IF(COUNTIFS('Respuestas de formulario 1'!$D:$D,K$4,'Respuestas de formulario 1'!$E:$E,$A45)&gt;0,1,0)</f>
        <v>1</v>
      </c>
      <c r="L45" s="29">
        <f t="shared" si="0"/>
        <v>10</v>
      </c>
      <c r="M45" s="29">
        <f t="shared" si="1"/>
        <v>0</v>
      </c>
    </row>
    <row r="46" spans="1:13" x14ac:dyDescent="0.2">
      <c r="A46" t="s">
        <v>381</v>
      </c>
      <c r="B46" s="1">
        <f>IF(COUNTIFS('Respuestas de formulario 1'!$D:$D,B$4,'Respuestas de formulario 1'!$E:$E,$A46)&gt;0,1,0)</f>
        <v>0</v>
      </c>
      <c r="C46" s="1">
        <f>IF(COUNTIFS('Respuestas de formulario 1'!$D:$D,C$4,'Respuestas de formulario 1'!$E:$E,$A46)&gt;0,1,0)</f>
        <v>0</v>
      </c>
      <c r="D46" s="1">
        <f>IF(COUNTIFS('Respuestas de formulario 1'!$D:$D,D$4,'Respuestas de formulario 1'!$E:$E,$A46)&gt;0,1,0)</f>
        <v>0</v>
      </c>
      <c r="E46" s="1">
        <f>IF(COUNTIFS('Respuestas de formulario 1'!$D:$D,E$4,'Respuestas de formulario 1'!$E:$E,$A46)&gt;0,1,0)</f>
        <v>0</v>
      </c>
      <c r="F46" s="1">
        <f>IF(COUNTIFS('Respuestas de formulario 1'!$D:$D,F$4,'Respuestas de formulario 1'!$E:$E,$A46)&gt;0,1,0)</f>
        <v>0</v>
      </c>
      <c r="G46" s="1">
        <f>IF(COUNTIFS('Respuestas de formulario 1'!$D:$D,G$4,'Respuestas de formulario 1'!$E:$E,$A46)&gt;0,1,0)</f>
        <v>0</v>
      </c>
      <c r="H46" s="1">
        <f>IF(COUNTIFS('Respuestas de formulario 1'!$D:$D,H$4,'Respuestas de formulario 1'!$E:$E,$A46)&gt;0,1,0)</f>
        <v>0</v>
      </c>
      <c r="I46" s="1">
        <f>IF(COUNTIFS('Respuestas de formulario 1'!$D:$D,I$4,'Respuestas de formulario 1'!$E:$E,$A46)&gt;0,1,0)</f>
        <v>0</v>
      </c>
      <c r="J46" s="1">
        <f>IF(COUNTIFS('Respuestas de formulario 1'!$D:$D,J$4,'Respuestas de formulario 1'!$E:$E,$A46)&gt;0,1,0)</f>
        <v>0</v>
      </c>
      <c r="K46" s="1">
        <f>IF(COUNTIFS('Respuestas de formulario 1'!$D:$D,K$4,'Respuestas de formulario 1'!$E:$E,$A46)&gt;0,1,0)</f>
        <v>0</v>
      </c>
      <c r="L46" s="29">
        <f t="shared" si="0"/>
        <v>0</v>
      </c>
      <c r="M46" s="29">
        <f t="shared" si="1"/>
        <v>10</v>
      </c>
    </row>
    <row r="47" spans="1:13" x14ac:dyDescent="0.2">
      <c r="A47" t="s">
        <v>382</v>
      </c>
      <c r="B47" s="1">
        <f>IF(COUNTIFS('Respuestas de formulario 1'!$D:$D,B$4,'Respuestas de formulario 1'!$E:$E,$A47)&gt;0,1,0)</f>
        <v>0</v>
      </c>
      <c r="C47" s="1">
        <f>IF(COUNTIFS('Respuestas de formulario 1'!$D:$D,C$4,'Respuestas de formulario 1'!$E:$E,$A47)&gt;0,1,0)</f>
        <v>0</v>
      </c>
      <c r="D47" s="1">
        <f>IF(COUNTIFS('Respuestas de formulario 1'!$D:$D,D$4,'Respuestas de formulario 1'!$E:$E,$A47)&gt;0,1,0)</f>
        <v>0</v>
      </c>
      <c r="E47" s="1">
        <f>IF(COUNTIFS('Respuestas de formulario 1'!$D:$D,E$4,'Respuestas de formulario 1'!$E:$E,$A47)&gt;0,1,0)</f>
        <v>0</v>
      </c>
      <c r="F47" s="1">
        <f>IF(COUNTIFS('Respuestas de formulario 1'!$D:$D,F$4,'Respuestas de formulario 1'!$E:$E,$A47)&gt;0,1,0)</f>
        <v>0</v>
      </c>
      <c r="G47" s="1">
        <f>IF(COUNTIFS('Respuestas de formulario 1'!$D:$D,G$4,'Respuestas de formulario 1'!$E:$E,$A47)&gt;0,1,0)</f>
        <v>0</v>
      </c>
      <c r="H47" s="1">
        <f>IF(COUNTIFS('Respuestas de formulario 1'!$D:$D,H$4,'Respuestas de formulario 1'!$E:$E,$A47)&gt;0,1,0)</f>
        <v>0</v>
      </c>
      <c r="I47" s="1">
        <f>IF(COUNTIFS('Respuestas de formulario 1'!$D:$D,I$4,'Respuestas de formulario 1'!$E:$E,$A47)&gt;0,1,0)</f>
        <v>0</v>
      </c>
      <c r="J47" s="1">
        <f>IF(COUNTIFS('Respuestas de formulario 1'!$D:$D,J$4,'Respuestas de formulario 1'!$E:$E,$A47)&gt;0,1,0)</f>
        <v>0</v>
      </c>
      <c r="K47" s="1">
        <f>IF(COUNTIFS('Respuestas de formulario 1'!$D:$D,K$4,'Respuestas de formulario 1'!$E:$E,$A47)&gt;0,1,0)</f>
        <v>0</v>
      </c>
      <c r="L47" s="29">
        <f t="shared" si="0"/>
        <v>0</v>
      </c>
      <c r="M47" s="29">
        <f t="shared" si="1"/>
        <v>10</v>
      </c>
    </row>
    <row r="48" spans="1:13" x14ac:dyDescent="0.2">
      <c r="A48" t="s">
        <v>334</v>
      </c>
      <c r="B48" s="1">
        <f>IF(COUNTIFS('Respuestas de formulario 1'!$D:$D,B$4,'Respuestas de formulario 1'!$E:$E,$A48)&gt;0,1,0)</f>
        <v>1</v>
      </c>
      <c r="C48" s="1">
        <f>IF(COUNTIFS('Respuestas de formulario 1'!$D:$D,C$4,'Respuestas de formulario 1'!$E:$E,$A48)&gt;0,1,0)</f>
        <v>1</v>
      </c>
      <c r="D48" s="1">
        <f>IF(COUNTIFS('Respuestas de formulario 1'!$D:$D,D$4,'Respuestas de formulario 1'!$E:$E,$A48)&gt;0,1,0)</f>
        <v>1</v>
      </c>
      <c r="E48" s="1">
        <f>IF(COUNTIFS('Respuestas de formulario 1'!$D:$D,E$4,'Respuestas de formulario 1'!$E:$E,$A48)&gt;0,1,0)</f>
        <v>1</v>
      </c>
      <c r="F48" s="1">
        <f>IF(COUNTIFS('Respuestas de formulario 1'!$D:$D,F$4,'Respuestas de formulario 1'!$E:$E,$A48)&gt;0,1,0)</f>
        <v>1</v>
      </c>
      <c r="G48" s="1">
        <f>IF(COUNTIFS('Respuestas de formulario 1'!$D:$D,G$4,'Respuestas de formulario 1'!$E:$E,$A48)&gt;0,1,0)</f>
        <v>1</v>
      </c>
      <c r="H48" s="1">
        <f>IF(COUNTIFS('Respuestas de formulario 1'!$D:$D,H$4,'Respuestas de formulario 1'!$E:$E,$A48)&gt;0,1,0)</f>
        <v>1</v>
      </c>
      <c r="I48" s="1">
        <f>IF(COUNTIFS('Respuestas de formulario 1'!$D:$D,I$4,'Respuestas de formulario 1'!$E:$E,$A48)&gt;0,1,0)</f>
        <v>1</v>
      </c>
      <c r="J48" s="1">
        <f>IF(COUNTIFS('Respuestas de formulario 1'!$D:$D,J$4,'Respuestas de formulario 1'!$E:$E,$A48)&gt;0,1,0)</f>
        <v>1</v>
      </c>
      <c r="K48" s="1">
        <f>IF(COUNTIFS('Respuestas de formulario 1'!$D:$D,K$4,'Respuestas de formulario 1'!$E:$E,$A48)&gt;0,1,0)</f>
        <v>1</v>
      </c>
      <c r="L48" s="29">
        <f t="shared" si="0"/>
        <v>10</v>
      </c>
      <c r="M48" s="29">
        <f t="shared" si="1"/>
        <v>0</v>
      </c>
    </row>
    <row r="49" spans="1:13" x14ac:dyDescent="0.2">
      <c r="A49" t="s">
        <v>142</v>
      </c>
      <c r="B49" s="1">
        <f>IF(COUNTIFS('Respuestas de formulario 1'!$D:$D,B$4,'Respuestas de formulario 1'!$E:$E,$A49)&gt;0,1,0)</f>
        <v>1</v>
      </c>
      <c r="C49" s="1">
        <f>IF(COUNTIFS('Respuestas de formulario 1'!$D:$D,C$4,'Respuestas de formulario 1'!$E:$E,$A49)&gt;0,1,0)</f>
        <v>1</v>
      </c>
      <c r="D49" s="1">
        <f>IF(COUNTIFS('Respuestas de formulario 1'!$D:$D,D$4,'Respuestas de formulario 1'!$E:$E,$A49)&gt;0,1,0)</f>
        <v>1</v>
      </c>
      <c r="E49" s="1">
        <f>IF(COUNTIFS('Respuestas de formulario 1'!$D:$D,E$4,'Respuestas de formulario 1'!$E:$E,$A49)&gt;0,1,0)</f>
        <v>1</v>
      </c>
      <c r="F49" s="1">
        <f>IF(COUNTIFS('Respuestas de formulario 1'!$D:$D,F$4,'Respuestas de formulario 1'!$E:$E,$A49)&gt;0,1,0)</f>
        <v>1</v>
      </c>
      <c r="G49" s="1">
        <f>IF(COUNTIFS('Respuestas de formulario 1'!$D:$D,G$4,'Respuestas de formulario 1'!$E:$E,$A49)&gt;0,1,0)</f>
        <v>1</v>
      </c>
      <c r="H49" s="1">
        <f>IF(COUNTIFS('Respuestas de formulario 1'!$D:$D,H$4,'Respuestas de formulario 1'!$E:$E,$A49)&gt;0,1,0)</f>
        <v>1</v>
      </c>
      <c r="I49" s="1">
        <f>IF(COUNTIFS('Respuestas de formulario 1'!$D:$D,I$4,'Respuestas de formulario 1'!$E:$E,$A49)&gt;0,1,0)</f>
        <v>1</v>
      </c>
      <c r="J49" s="1">
        <f>IF(COUNTIFS('Respuestas de formulario 1'!$D:$D,J$4,'Respuestas de formulario 1'!$E:$E,$A49)&gt;0,1,0)</f>
        <v>1</v>
      </c>
      <c r="K49" s="1">
        <f>IF(COUNTIFS('Respuestas de formulario 1'!$D:$D,K$4,'Respuestas de formulario 1'!$E:$E,$A49)&gt;0,1,0)</f>
        <v>1</v>
      </c>
      <c r="L49" s="29">
        <f t="shared" si="0"/>
        <v>10</v>
      </c>
      <c r="M49" s="29">
        <f t="shared" si="1"/>
        <v>0</v>
      </c>
    </row>
    <row r="50" spans="1:13" x14ac:dyDescent="0.2">
      <c r="A50" t="s">
        <v>353</v>
      </c>
      <c r="B50" s="1">
        <f>IF(COUNTIFS('Respuestas de formulario 1'!$D:$D,B$4,'Respuestas de formulario 1'!$E:$E,$A50)&gt;0,1,0)</f>
        <v>0</v>
      </c>
      <c r="C50" s="1">
        <f>IF(COUNTIFS('Respuestas de formulario 1'!$D:$D,C$4,'Respuestas de formulario 1'!$E:$E,$A50)&gt;0,1,0)</f>
        <v>1</v>
      </c>
      <c r="D50" s="1">
        <f>IF(COUNTIFS('Respuestas de formulario 1'!$D:$D,D$4,'Respuestas de formulario 1'!$E:$E,$A50)&gt;0,1,0)</f>
        <v>1</v>
      </c>
      <c r="E50" s="1">
        <f>IF(COUNTIFS('Respuestas de formulario 1'!$D:$D,E$4,'Respuestas de formulario 1'!$E:$E,$A50)&gt;0,1,0)</f>
        <v>1</v>
      </c>
      <c r="F50" s="1">
        <f>IF(COUNTIFS('Respuestas de formulario 1'!$D:$D,F$4,'Respuestas de formulario 1'!$E:$E,$A50)&gt;0,1,0)</f>
        <v>0</v>
      </c>
      <c r="G50" s="1">
        <f>IF(COUNTIFS('Respuestas de formulario 1'!$D:$D,G$4,'Respuestas de formulario 1'!$E:$E,$A50)&gt;0,1,0)</f>
        <v>1</v>
      </c>
      <c r="H50" s="1">
        <f>IF(COUNTIFS('Respuestas de formulario 1'!$D:$D,H$4,'Respuestas de formulario 1'!$E:$E,$A50)&gt;0,1,0)</f>
        <v>1</v>
      </c>
      <c r="I50" s="1">
        <f>IF(COUNTIFS('Respuestas de formulario 1'!$D:$D,I$4,'Respuestas de formulario 1'!$E:$E,$A50)&gt;0,1,0)</f>
        <v>1</v>
      </c>
      <c r="J50" s="1">
        <f>IF(COUNTIFS('Respuestas de formulario 1'!$D:$D,J$4,'Respuestas de formulario 1'!$E:$E,$A50)&gt;0,1,0)</f>
        <v>0</v>
      </c>
      <c r="K50" s="1">
        <f>IF(COUNTIFS('Respuestas de formulario 1'!$D:$D,K$4,'Respuestas de formulario 1'!$E:$E,$A50)&gt;0,1,0)</f>
        <v>1</v>
      </c>
      <c r="L50" s="29">
        <f t="shared" si="0"/>
        <v>7</v>
      </c>
      <c r="M50" s="29">
        <f t="shared" si="1"/>
        <v>3</v>
      </c>
    </row>
    <row r="51" spans="1:13" x14ac:dyDescent="0.2">
      <c r="A51" t="s">
        <v>383</v>
      </c>
      <c r="B51" s="1">
        <f>IF(COUNTIFS('Respuestas de formulario 1'!$D:$D,B$4,'Respuestas de formulario 1'!$E:$E,$A51)&gt;0,1,0)</f>
        <v>0</v>
      </c>
      <c r="C51" s="1">
        <f>IF(COUNTIFS('Respuestas de formulario 1'!$D:$D,C$4,'Respuestas de formulario 1'!$E:$E,$A51)&gt;0,1,0)</f>
        <v>0</v>
      </c>
      <c r="D51" s="1">
        <f>IF(COUNTIFS('Respuestas de formulario 1'!$D:$D,D$4,'Respuestas de formulario 1'!$E:$E,$A51)&gt;0,1,0)</f>
        <v>0</v>
      </c>
      <c r="E51" s="1">
        <f>IF(COUNTIFS('Respuestas de formulario 1'!$D:$D,E$4,'Respuestas de formulario 1'!$E:$E,$A51)&gt;0,1,0)</f>
        <v>0</v>
      </c>
      <c r="F51" s="1">
        <f>IF(COUNTIFS('Respuestas de formulario 1'!$D:$D,F$4,'Respuestas de formulario 1'!$E:$E,$A51)&gt;0,1,0)</f>
        <v>0</v>
      </c>
      <c r="G51" s="1">
        <f>IF(COUNTIFS('Respuestas de formulario 1'!$D:$D,G$4,'Respuestas de formulario 1'!$E:$E,$A51)&gt;0,1,0)</f>
        <v>0</v>
      </c>
      <c r="H51" s="1">
        <f>IF(COUNTIFS('Respuestas de formulario 1'!$D:$D,H$4,'Respuestas de formulario 1'!$E:$E,$A51)&gt;0,1,0)</f>
        <v>0</v>
      </c>
      <c r="I51" s="1">
        <f>IF(COUNTIFS('Respuestas de formulario 1'!$D:$D,I$4,'Respuestas de formulario 1'!$E:$E,$A51)&gt;0,1,0)</f>
        <v>0</v>
      </c>
      <c r="J51" s="1">
        <f>IF(COUNTIFS('Respuestas de formulario 1'!$D:$D,J$4,'Respuestas de formulario 1'!$E:$E,$A51)&gt;0,1,0)</f>
        <v>0</v>
      </c>
      <c r="K51" s="1">
        <f>IF(COUNTIFS('Respuestas de formulario 1'!$D:$D,K$4,'Respuestas de formulario 1'!$E:$E,$A51)&gt;0,1,0)</f>
        <v>0</v>
      </c>
      <c r="L51" s="29">
        <f t="shared" si="0"/>
        <v>0</v>
      </c>
      <c r="M51" s="29">
        <f t="shared" si="1"/>
        <v>10</v>
      </c>
    </row>
    <row r="52" spans="1:13" x14ac:dyDescent="0.2">
      <c r="A52" t="s">
        <v>356</v>
      </c>
      <c r="B52" s="1">
        <f>IF(COUNTIFS('Respuestas de formulario 1'!$D:$D,B$4,'Respuestas de formulario 1'!$E:$E,$A52)&gt;0,1,0)</f>
        <v>0</v>
      </c>
      <c r="C52" s="1">
        <f>IF(COUNTIFS('Respuestas de formulario 1'!$D:$D,C$4,'Respuestas de formulario 1'!$E:$E,$A52)&gt;0,1,0)</f>
        <v>1</v>
      </c>
      <c r="D52" s="1">
        <f>IF(COUNTIFS('Respuestas de formulario 1'!$D:$D,D$4,'Respuestas de formulario 1'!$E:$E,$A52)&gt;0,1,0)</f>
        <v>0</v>
      </c>
      <c r="E52" s="1">
        <f>IF(COUNTIFS('Respuestas de formulario 1'!$D:$D,E$4,'Respuestas de formulario 1'!$E:$E,$A52)&gt;0,1,0)</f>
        <v>1</v>
      </c>
      <c r="F52" s="1">
        <f>IF(COUNTIFS('Respuestas de formulario 1'!$D:$D,F$4,'Respuestas de formulario 1'!$E:$E,$A52)&gt;0,1,0)</f>
        <v>1</v>
      </c>
      <c r="G52" s="1">
        <f>IF(COUNTIFS('Respuestas de formulario 1'!$D:$D,G$4,'Respuestas de formulario 1'!$E:$E,$A52)&gt;0,1,0)</f>
        <v>1</v>
      </c>
      <c r="H52" s="1">
        <f>IF(COUNTIFS('Respuestas de formulario 1'!$D:$D,H$4,'Respuestas de formulario 1'!$E:$E,$A52)&gt;0,1,0)</f>
        <v>1</v>
      </c>
      <c r="I52" s="1">
        <f>IF(COUNTIFS('Respuestas de formulario 1'!$D:$D,I$4,'Respuestas de formulario 1'!$E:$E,$A52)&gt;0,1,0)</f>
        <v>1</v>
      </c>
      <c r="J52" s="1">
        <f>IF(COUNTIFS('Respuestas de formulario 1'!$D:$D,J$4,'Respuestas de formulario 1'!$E:$E,$A52)&gt;0,1,0)</f>
        <v>0</v>
      </c>
      <c r="K52" s="1">
        <f>IF(COUNTIFS('Respuestas de formulario 1'!$D:$D,K$4,'Respuestas de formulario 1'!$E:$E,$A52)&gt;0,1,0)</f>
        <v>0</v>
      </c>
      <c r="L52" s="29">
        <f t="shared" si="0"/>
        <v>6</v>
      </c>
      <c r="M52" s="29">
        <f t="shared" si="1"/>
        <v>4</v>
      </c>
    </row>
    <row r="53" spans="1:13" x14ac:dyDescent="0.2">
      <c r="A53" t="s">
        <v>339</v>
      </c>
      <c r="B53" s="1">
        <f>IF(COUNTIFS('Respuestas de formulario 1'!$D:$D,B$4,'Respuestas de formulario 1'!$E:$E,$A53)&gt;0,1,0)</f>
        <v>1</v>
      </c>
      <c r="C53" s="1">
        <f>IF(COUNTIFS('Respuestas de formulario 1'!$D:$D,C$4,'Respuestas de formulario 1'!$E:$E,$A53)&gt;0,1,0)</f>
        <v>1</v>
      </c>
      <c r="D53" s="1">
        <f>IF(COUNTIFS('Respuestas de formulario 1'!$D:$D,D$4,'Respuestas de formulario 1'!$E:$E,$A53)&gt;0,1,0)</f>
        <v>1</v>
      </c>
      <c r="E53" s="1">
        <f>IF(COUNTIFS('Respuestas de formulario 1'!$D:$D,E$4,'Respuestas de formulario 1'!$E:$E,$A53)&gt;0,1,0)</f>
        <v>1</v>
      </c>
      <c r="F53" s="1">
        <f>IF(COUNTIFS('Respuestas de formulario 1'!$D:$D,F$4,'Respuestas de formulario 1'!$E:$E,$A53)&gt;0,1,0)</f>
        <v>1</v>
      </c>
      <c r="G53" s="1">
        <f>IF(COUNTIFS('Respuestas de formulario 1'!$D:$D,G$4,'Respuestas de formulario 1'!$E:$E,$A53)&gt;0,1,0)</f>
        <v>1</v>
      </c>
      <c r="H53" s="1">
        <f>IF(COUNTIFS('Respuestas de formulario 1'!$D:$D,H$4,'Respuestas de formulario 1'!$E:$E,$A53)&gt;0,1,0)</f>
        <v>1</v>
      </c>
      <c r="I53" s="1">
        <f>IF(COUNTIFS('Respuestas de formulario 1'!$D:$D,I$4,'Respuestas de formulario 1'!$E:$E,$A53)&gt;0,1,0)</f>
        <v>1</v>
      </c>
      <c r="J53" s="1">
        <f>IF(COUNTIFS('Respuestas de formulario 1'!$D:$D,J$4,'Respuestas de formulario 1'!$E:$E,$A53)&gt;0,1,0)</f>
        <v>1</v>
      </c>
      <c r="K53" s="1">
        <f>IF(COUNTIFS('Respuestas de formulario 1'!$D:$D,K$4,'Respuestas de formulario 1'!$E:$E,$A53)&gt;0,1,0)</f>
        <v>1</v>
      </c>
      <c r="L53" s="29">
        <f t="shared" si="0"/>
        <v>10</v>
      </c>
      <c r="M53" s="29">
        <f t="shared" si="1"/>
        <v>0</v>
      </c>
    </row>
    <row r="54" spans="1:13" x14ac:dyDescent="0.2">
      <c r="A54" t="s">
        <v>331</v>
      </c>
      <c r="B54" s="1">
        <f>IF(COUNTIFS('Respuestas de formulario 1'!$D:$D,B$4,'Respuestas de formulario 1'!$E:$E,$A54)&gt;0,1,0)</f>
        <v>1</v>
      </c>
      <c r="C54" s="1">
        <f>IF(COUNTIFS('Respuestas de formulario 1'!$D:$D,C$4,'Respuestas de formulario 1'!$E:$E,$A54)&gt;0,1,0)</f>
        <v>1</v>
      </c>
      <c r="D54" s="1">
        <f>IF(COUNTIFS('Respuestas de formulario 1'!$D:$D,D$4,'Respuestas de formulario 1'!$E:$E,$A54)&gt;0,1,0)</f>
        <v>1</v>
      </c>
      <c r="E54" s="1">
        <f>IF(COUNTIFS('Respuestas de formulario 1'!$D:$D,E$4,'Respuestas de formulario 1'!$E:$E,$A54)&gt;0,1,0)</f>
        <v>1</v>
      </c>
      <c r="F54" s="1">
        <f>IF(COUNTIFS('Respuestas de formulario 1'!$D:$D,F$4,'Respuestas de formulario 1'!$E:$E,$A54)&gt;0,1,0)</f>
        <v>1</v>
      </c>
      <c r="G54" s="1">
        <f>IF(COUNTIFS('Respuestas de formulario 1'!$D:$D,G$4,'Respuestas de formulario 1'!$E:$E,$A54)&gt;0,1,0)</f>
        <v>1</v>
      </c>
      <c r="H54" s="1">
        <f>IF(COUNTIFS('Respuestas de formulario 1'!$D:$D,H$4,'Respuestas de formulario 1'!$E:$E,$A54)&gt;0,1,0)</f>
        <v>1</v>
      </c>
      <c r="I54" s="1">
        <f>IF(COUNTIFS('Respuestas de formulario 1'!$D:$D,I$4,'Respuestas de formulario 1'!$E:$E,$A54)&gt;0,1,0)</f>
        <v>1</v>
      </c>
      <c r="J54" s="1">
        <f>IF(COUNTIFS('Respuestas de formulario 1'!$D:$D,J$4,'Respuestas de formulario 1'!$E:$E,$A54)&gt;0,1,0)</f>
        <v>1</v>
      </c>
      <c r="K54" s="1">
        <f>IF(COUNTIFS('Respuestas de formulario 1'!$D:$D,K$4,'Respuestas de formulario 1'!$E:$E,$A54)&gt;0,1,0)</f>
        <v>1</v>
      </c>
      <c r="L54" s="29">
        <f t="shared" si="0"/>
        <v>10</v>
      </c>
      <c r="M54" s="29">
        <f t="shared" si="1"/>
        <v>0</v>
      </c>
    </row>
    <row r="55" spans="1:13" x14ac:dyDescent="0.2">
      <c r="A55" t="s">
        <v>324</v>
      </c>
      <c r="B55" s="1">
        <f>IF(COUNTIFS('Respuestas de formulario 1'!$D:$D,B$4,'Respuestas de formulario 1'!$E:$E,$A55)&gt;0,1,0)</f>
        <v>1</v>
      </c>
      <c r="C55" s="1">
        <f>IF(COUNTIFS('Respuestas de formulario 1'!$D:$D,C$4,'Respuestas de formulario 1'!$E:$E,$A55)&gt;0,1,0)</f>
        <v>1</v>
      </c>
      <c r="D55" s="1">
        <f>IF(COUNTIFS('Respuestas de formulario 1'!$D:$D,D$4,'Respuestas de formulario 1'!$E:$E,$A55)&gt;0,1,0)</f>
        <v>1</v>
      </c>
      <c r="E55" s="1">
        <f>IF(COUNTIFS('Respuestas de formulario 1'!$D:$D,E$4,'Respuestas de formulario 1'!$E:$E,$A55)&gt;0,1,0)</f>
        <v>1</v>
      </c>
      <c r="F55" s="1">
        <f>IF(COUNTIFS('Respuestas de formulario 1'!$D:$D,F$4,'Respuestas de formulario 1'!$E:$E,$A55)&gt;0,1,0)</f>
        <v>1</v>
      </c>
      <c r="G55" s="1">
        <f>IF(COUNTIFS('Respuestas de formulario 1'!$D:$D,G$4,'Respuestas de formulario 1'!$E:$E,$A55)&gt;0,1,0)</f>
        <v>1</v>
      </c>
      <c r="H55" s="1">
        <f>IF(COUNTIFS('Respuestas de formulario 1'!$D:$D,H$4,'Respuestas de formulario 1'!$E:$E,$A55)&gt;0,1,0)</f>
        <v>1</v>
      </c>
      <c r="I55" s="1">
        <f>IF(COUNTIFS('Respuestas de formulario 1'!$D:$D,I$4,'Respuestas de formulario 1'!$E:$E,$A55)&gt;0,1,0)</f>
        <v>1</v>
      </c>
      <c r="J55" s="1">
        <f>IF(COUNTIFS('Respuestas de formulario 1'!$D:$D,J$4,'Respuestas de formulario 1'!$E:$E,$A55)&gt;0,1,0)</f>
        <v>1</v>
      </c>
      <c r="K55" s="1">
        <f>IF(COUNTIFS('Respuestas de formulario 1'!$D:$D,K$4,'Respuestas de formulario 1'!$E:$E,$A55)&gt;0,1,0)</f>
        <v>1</v>
      </c>
      <c r="L55" s="29">
        <f t="shared" si="0"/>
        <v>10</v>
      </c>
      <c r="M55" s="29">
        <f t="shared" si="1"/>
        <v>0</v>
      </c>
    </row>
    <row r="56" spans="1:13" x14ac:dyDescent="0.2">
      <c r="A56" t="s">
        <v>357</v>
      </c>
      <c r="B56" s="1">
        <f>IF(COUNTIFS('Respuestas de formulario 1'!$D:$D,B$4,'Respuestas de formulario 1'!$E:$E,$A56)&gt;0,1,0)</f>
        <v>0</v>
      </c>
      <c r="C56" s="1">
        <f>IF(COUNTIFS('Respuestas de formulario 1'!$D:$D,C$4,'Respuestas de formulario 1'!$E:$E,$A56)&gt;0,1,0)</f>
        <v>0</v>
      </c>
      <c r="D56" s="1">
        <f>IF(COUNTIFS('Respuestas de formulario 1'!$D:$D,D$4,'Respuestas de formulario 1'!$E:$E,$A56)&gt;0,1,0)</f>
        <v>0</v>
      </c>
      <c r="E56" s="1">
        <f>IF(COUNTIFS('Respuestas de formulario 1'!$D:$D,E$4,'Respuestas de formulario 1'!$E:$E,$A56)&gt;0,1,0)</f>
        <v>1</v>
      </c>
      <c r="F56" s="1">
        <f>IF(COUNTIFS('Respuestas de formulario 1'!$D:$D,F$4,'Respuestas de formulario 1'!$E:$E,$A56)&gt;0,1,0)</f>
        <v>1</v>
      </c>
      <c r="G56" s="1">
        <f>IF(COUNTIFS('Respuestas de formulario 1'!$D:$D,G$4,'Respuestas de formulario 1'!$E:$E,$A56)&gt;0,1,0)</f>
        <v>0</v>
      </c>
      <c r="H56" s="1">
        <f>IF(COUNTIFS('Respuestas de formulario 1'!$D:$D,H$4,'Respuestas de formulario 1'!$E:$E,$A56)&gt;0,1,0)</f>
        <v>0</v>
      </c>
      <c r="I56" s="1">
        <f>IF(COUNTIFS('Respuestas de formulario 1'!$D:$D,I$4,'Respuestas de formulario 1'!$E:$E,$A56)&gt;0,1,0)</f>
        <v>1</v>
      </c>
      <c r="J56" s="1">
        <f>IF(COUNTIFS('Respuestas de formulario 1'!$D:$D,J$4,'Respuestas de formulario 1'!$E:$E,$A56)&gt;0,1,0)</f>
        <v>0</v>
      </c>
      <c r="K56" s="1">
        <f>IF(COUNTIFS('Respuestas de formulario 1'!$D:$D,K$4,'Respuestas de formulario 1'!$E:$E,$A56)&gt;0,1,0)</f>
        <v>0</v>
      </c>
      <c r="L56" s="29">
        <f t="shared" si="0"/>
        <v>3</v>
      </c>
      <c r="M56" s="29">
        <f t="shared" si="1"/>
        <v>7</v>
      </c>
    </row>
    <row r="57" spans="1:13" x14ac:dyDescent="0.2">
      <c r="A57" s="10" t="s">
        <v>384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29"/>
      <c r="M57" s="29"/>
    </row>
    <row r="58" spans="1:13" x14ac:dyDescent="0.2">
      <c r="A58" t="s">
        <v>38</v>
      </c>
      <c r="B58" s="1">
        <f>IF(COUNTIFS('Respuestas de formulario 1'!$D:$D,B$4,'Respuestas de formulario 1'!$E:$E,"NO INSCRITO: "&amp;$A58)&gt;0,1,0)</f>
        <v>1</v>
      </c>
      <c r="C58" s="1">
        <f>IF(COUNTIFS('Respuestas de formulario 1'!$D:$D,C$4,'Respuestas de formulario 1'!$E:$E,"NO INSCRITO: "&amp;$A58)&gt;0,1,0)</f>
        <v>1</v>
      </c>
      <c r="D58" s="1">
        <f>IF(COUNTIFS('Respuestas de formulario 1'!$D:$D,D$4,'Respuestas de formulario 1'!$E:$E,"NO INSCRITO: "&amp;$A58)&gt;0,1,0)</f>
        <v>1</v>
      </c>
      <c r="E58" s="1">
        <f>IF(COUNTIFS('Respuestas de formulario 1'!$D:$D,E$4,'Respuestas de formulario 1'!$E:$E,"NO INSCRITO: "&amp;$A58)&gt;0,1,0)</f>
        <v>1</v>
      </c>
      <c r="F58" s="1">
        <f>IF(COUNTIFS('Respuestas de formulario 1'!$D:$D,F$4,'Respuestas de formulario 1'!$E:$E,"NO INSCRITO: "&amp;$A58)&gt;0,1,0)</f>
        <v>1</v>
      </c>
      <c r="G58" s="1">
        <f>IF(COUNTIFS('Respuestas de formulario 1'!$D:$D,G$4,'Respuestas de formulario 1'!$E:$E,"NO INSCRITO: "&amp;$A58)&gt;0,1,0)</f>
        <v>1</v>
      </c>
      <c r="H58" s="1">
        <f>IF(COUNTIFS('Respuestas de formulario 1'!$D:$D,H$4,'Respuestas de formulario 1'!$E:$E,"NO INSCRITO: "&amp;$A58)&gt;0,1,0)</f>
        <v>0</v>
      </c>
      <c r="I58" s="1">
        <f>IF(COUNTIFS('Respuestas de formulario 1'!$D:$D,I$4,'Respuestas de formulario 1'!$E:$E,"NO INSCRITO: "&amp;$A58)&gt;0,1,0)</f>
        <v>0</v>
      </c>
      <c r="J58" s="1">
        <f>IF(COUNTIFS('Respuestas de formulario 1'!$D:$D,J$4,'Respuestas de formulario 1'!$E:$E,"NO INSCRITO: "&amp;$A58)&gt;0,1,0)</f>
        <v>0</v>
      </c>
      <c r="K58" s="1">
        <f>IF(COUNTIFS('Respuestas de formulario 1'!$D:$D,K$4,'Respuestas de formulario 1'!$E:$E,"NO INSCRITO: "&amp;$A58)&gt;0,1,0)</f>
        <v>0</v>
      </c>
      <c r="L58" s="29">
        <f>SUM(B58:K58)</f>
        <v>6</v>
      </c>
      <c r="M58" s="29">
        <f>COUNT($B$4:$K$4)-L58</f>
        <v>4</v>
      </c>
    </row>
    <row r="59" spans="1:13" x14ac:dyDescent="0.2">
      <c r="A59" t="s">
        <v>41</v>
      </c>
      <c r="B59" s="1">
        <f>IF(COUNTIFS('Respuestas de formulario 1'!$D:$D,B$4,'Respuestas de formulario 1'!$E:$E,"NO INSCRITO: "&amp;$A59)&gt;0,1,0)</f>
        <v>1</v>
      </c>
      <c r="C59" s="1">
        <f>IF(COUNTIFS('Respuestas de formulario 1'!$D:$D,C$4,'Respuestas de formulario 1'!$E:$E,"NO INSCRITO: "&amp;$A59)&gt;0,1,0)</f>
        <v>1</v>
      </c>
      <c r="D59" s="1">
        <f>IF(COUNTIFS('Respuestas de formulario 1'!$D:$D,D$4,'Respuestas de formulario 1'!$E:$E,"NO INSCRITO: "&amp;$A59)&gt;0,1,0)</f>
        <v>0</v>
      </c>
      <c r="E59" s="1">
        <f>IF(COUNTIFS('Respuestas de formulario 1'!$D:$D,E$4,'Respuestas de formulario 1'!$E:$E,"NO INSCRITO: "&amp;$A59)&gt;0,1,0)</f>
        <v>0</v>
      </c>
      <c r="F59" s="1">
        <f>IF(COUNTIFS('Respuestas de formulario 1'!$D:$D,F$4,'Respuestas de formulario 1'!$E:$E,"NO INSCRITO: "&amp;$A59)&gt;0,1,0)</f>
        <v>0</v>
      </c>
      <c r="G59" s="1">
        <f>IF(COUNTIFS('Respuestas de formulario 1'!$D:$D,G$4,'Respuestas de formulario 1'!$E:$E,"NO INSCRITO: "&amp;$A59)&gt;0,1,0)</f>
        <v>0</v>
      </c>
      <c r="H59" s="1">
        <f>IF(COUNTIFS('Respuestas de formulario 1'!$D:$D,H$4,'Respuestas de formulario 1'!$E:$E,"NO INSCRITO: "&amp;$A59)&gt;0,1,0)</f>
        <v>0</v>
      </c>
      <c r="I59" s="1">
        <f>IF(COUNTIFS('Respuestas de formulario 1'!$D:$D,I$4,'Respuestas de formulario 1'!$E:$E,"NO INSCRITO: "&amp;$A59)&gt;0,1,0)</f>
        <v>0</v>
      </c>
      <c r="J59" s="1">
        <f>IF(COUNTIFS('Respuestas de formulario 1'!$D:$D,J$4,'Respuestas de formulario 1'!$E:$E,"NO INSCRITO: "&amp;$A59)&gt;0,1,0)</f>
        <v>0</v>
      </c>
      <c r="K59" s="1">
        <f>IF(COUNTIFS('Respuestas de formulario 1'!$D:$D,K$4,'Respuestas de formulario 1'!$E:$E,"NO INSCRITO: "&amp;$A59)&gt;0,1,0)</f>
        <v>0</v>
      </c>
      <c r="L59" s="29">
        <f>SUM(B59:K59)</f>
        <v>2</v>
      </c>
      <c r="M59" s="29">
        <f>COUNT($B$4:$K$4)-L59</f>
        <v>8</v>
      </c>
    </row>
  </sheetData>
  <conditionalFormatting sqref="B5:K56">
    <cfRule type="cellIs" dxfId="11" priority="7" operator="equal">
      <formula>1</formula>
    </cfRule>
  </conditionalFormatting>
  <conditionalFormatting sqref="B5:K56">
    <cfRule type="cellIs" dxfId="10" priority="8" operator="equal">
      <formula>0</formula>
    </cfRule>
  </conditionalFormatting>
  <conditionalFormatting sqref="B58:K58">
    <cfRule type="cellIs" dxfId="9" priority="9" operator="equal">
      <formula>1</formula>
    </cfRule>
  </conditionalFormatting>
  <conditionalFormatting sqref="B58:K58">
    <cfRule type="cellIs" dxfId="8" priority="10" operator="equal">
      <formula>0</formula>
    </cfRule>
  </conditionalFormatting>
  <conditionalFormatting sqref="B59:K59">
    <cfRule type="cellIs" dxfId="7" priority="5" operator="equal">
      <formula>1</formula>
    </cfRule>
  </conditionalFormatting>
  <conditionalFormatting sqref="B59:K59">
    <cfRule type="cellIs" dxfId="6" priority="6" operator="equal">
      <formula>0</formula>
    </cfRule>
  </conditionalFormatting>
  <conditionalFormatting sqref="B59:K59">
    <cfRule type="cellIs" dxfId="5" priority="11" operator="equal">
      <formula>1</formula>
    </cfRule>
  </conditionalFormatting>
  <conditionalFormatting sqref="B59:K59">
    <cfRule type="cellIs" dxfId="4" priority="12" operator="equal">
      <formula>0</formula>
    </cfRule>
  </conditionalFormatting>
  <conditionalFormatting sqref="M5:M56">
    <cfRule type="cellIs" dxfId="3" priority="3" operator="lessThanOrEqual">
      <formula>2</formula>
    </cfRule>
    <cfRule type="cellIs" dxfId="2" priority="4" operator="greaterThanOrEqual">
      <formula>3</formula>
    </cfRule>
  </conditionalFormatting>
  <conditionalFormatting sqref="L5:L56">
    <cfRule type="cellIs" dxfId="1" priority="1" operator="lessThanOrEqual">
      <formula>2</formula>
    </cfRule>
    <cfRule type="cellIs" dxfId="0" priority="2" operator="greaterThanOrEqual">
      <formula>3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819FC-A6C7-417C-823A-C34B74AF9ED1}">
  <dimension ref="A1:C55"/>
  <sheetViews>
    <sheetView zoomScale="130" zoomScaleNormal="130" workbookViewId="0">
      <selection activeCell="E51" sqref="E51"/>
    </sheetView>
  </sheetViews>
  <sheetFormatPr baseColWidth="10" defaultRowHeight="12.75" x14ac:dyDescent="0.2"/>
  <cols>
    <col min="1" max="1" width="4" style="13" bestFit="1" customWidth="1"/>
    <col min="2" max="2" width="42.28515625" style="13" bestFit="1" customWidth="1"/>
    <col min="3" max="3" width="11.42578125" style="19"/>
    <col min="4" max="16384" width="11.42578125" style="13"/>
  </cols>
  <sheetData>
    <row r="1" spans="1:3" x14ac:dyDescent="0.2">
      <c r="A1" s="11" t="s">
        <v>386</v>
      </c>
      <c r="B1" s="12" t="s">
        <v>387</v>
      </c>
      <c r="C1" s="12" t="s">
        <v>388</v>
      </c>
    </row>
    <row r="2" spans="1:3" x14ac:dyDescent="0.2">
      <c r="A2" s="14">
        <v>1</v>
      </c>
      <c r="B2" s="15" t="s">
        <v>356</v>
      </c>
      <c r="C2" s="14">
        <v>1</v>
      </c>
    </row>
    <row r="3" spans="1:3" x14ac:dyDescent="0.2">
      <c r="A3" s="14">
        <v>2</v>
      </c>
      <c r="B3" s="16" t="s">
        <v>324</v>
      </c>
      <c r="C3" s="14">
        <v>2</v>
      </c>
    </row>
    <row r="4" spans="1:3" x14ac:dyDescent="0.2">
      <c r="A4" s="14">
        <v>3</v>
      </c>
      <c r="B4" s="16" t="s">
        <v>198</v>
      </c>
      <c r="C4" s="14">
        <v>3</v>
      </c>
    </row>
    <row r="5" spans="1:3" x14ac:dyDescent="0.2">
      <c r="A5" s="14">
        <v>4</v>
      </c>
      <c r="B5" s="16" t="s">
        <v>389</v>
      </c>
      <c r="C5" s="14">
        <v>3</v>
      </c>
    </row>
    <row r="6" spans="1:3" x14ac:dyDescent="0.2">
      <c r="A6" s="14">
        <v>5</v>
      </c>
      <c r="B6" s="16" t="s">
        <v>390</v>
      </c>
      <c r="C6" s="14">
        <v>4</v>
      </c>
    </row>
    <row r="7" spans="1:3" x14ac:dyDescent="0.2">
      <c r="A7" s="14">
        <v>6</v>
      </c>
      <c r="B7" s="16" t="s">
        <v>74</v>
      </c>
      <c r="C7" s="14">
        <v>5</v>
      </c>
    </row>
    <row r="8" spans="1:3" x14ac:dyDescent="0.2">
      <c r="A8" s="14">
        <v>7</v>
      </c>
      <c r="B8" s="16" t="s">
        <v>391</v>
      </c>
      <c r="C8" s="14">
        <v>6</v>
      </c>
    </row>
    <row r="9" spans="1:3" x14ac:dyDescent="0.2">
      <c r="A9" s="14">
        <v>8</v>
      </c>
      <c r="B9" s="16" t="s">
        <v>392</v>
      </c>
      <c r="C9" s="14">
        <v>6</v>
      </c>
    </row>
    <row r="10" spans="1:3" x14ac:dyDescent="0.2">
      <c r="A10" s="14">
        <v>9</v>
      </c>
      <c r="B10" s="16" t="s">
        <v>9</v>
      </c>
      <c r="C10" s="14">
        <v>7</v>
      </c>
    </row>
    <row r="11" spans="1:3" x14ac:dyDescent="0.2">
      <c r="A11" s="14">
        <v>10</v>
      </c>
      <c r="B11" s="16" t="s">
        <v>121</v>
      </c>
      <c r="C11" s="14">
        <v>7</v>
      </c>
    </row>
    <row r="12" spans="1:3" x14ac:dyDescent="0.2">
      <c r="A12" s="14">
        <v>11</v>
      </c>
      <c r="B12" s="16" t="s">
        <v>333</v>
      </c>
      <c r="C12" s="14">
        <v>8</v>
      </c>
    </row>
    <row r="13" spans="1:3" x14ac:dyDescent="0.2">
      <c r="A13" s="14">
        <v>12</v>
      </c>
      <c r="B13" s="16" t="s">
        <v>337</v>
      </c>
      <c r="C13" s="14">
        <v>8</v>
      </c>
    </row>
    <row r="14" spans="1:3" x14ac:dyDescent="0.2">
      <c r="A14" s="14">
        <v>13</v>
      </c>
      <c r="B14" s="16" t="s">
        <v>393</v>
      </c>
      <c r="C14" s="14">
        <v>8</v>
      </c>
    </row>
    <row r="15" spans="1:3" x14ac:dyDescent="0.2">
      <c r="A15" s="14">
        <v>14</v>
      </c>
      <c r="B15" s="16" t="s">
        <v>394</v>
      </c>
      <c r="C15" s="14">
        <v>9</v>
      </c>
    </row>
    <row r="16" spans="1:3" x14ac:dyDescent="0.2">
      <c r="A16" s="14">
        <v>15</v>
      </c>
      <c r="B16" s="16" t="s">
        <v>58</v>
      </c>
      <c r="C16" s="14">
        <v>9</v>
      </c>
    </row>
    <row r="17" spans="1:3" x14ac:dyDescent="0.2">
      <c r="A17" s="14">
        <v>16</v>
      </c>
      <c r="B17" s="16" t="s">
        <v>395</v>
      </c>
      <c r="C17" s="14">
        <v>9</v>
      </c>
    </row>
    <row r="18" spans="1:3" x14ac:dyDescent="0.2">
      <c r="A18" s="14">
        <v>17</v>
      </c>
      <c r="B18" s="16" t="s">
        <v>396</v>
      </c>
      <c r="C18" s="14">
        <v>9</v>
      </c>
    </row>
    <row r="19" spans="1:3" x14ac:dyDescent="0.2">
      <c r="A19" s="14">
        <v>18</v>
      </c>
      <c r="B19" s="16" t="s">
        <v>17</v>
      </c>
      <c r="C19" s="14">
        <v>10</v>
      </c>
    </row>
    <row r="20" spans="1:3" x14ac:dyDescent="0.2">
      <c r="A20" s="14">
        <v>19</v>
      </c>
      <c r="B20" s="16" t="s">
        <v>35</v>
      </c>
      <c r="C20" s="14">
        <v>11</v>
      </c>
    </row>
    <row r="21" spans="1:3" x14ac:dyDescent="0.2">
      <c r="A21" s="14">
        <v>20</v>
      </c>
      <c r="B21" s="16" t="s">
        <v>36</v>
      </c>
      <c r="C21" s="14">
        <v>11</v>
      </c>
    </row>
    <row r="22" spans="1:3" x14ac:dyDescent="0.2">
      <c r="A22" s="14">
        <v>21</v>
      </c>
      <c r="B22" s="16" t="s">
        <v>397</v>
      </c>
      <c r="C22" s="14">
        <v>11</v>
      </c>
    </row>
    <row r="23" spans="1:3" x14ac:dyDescent="0.2">
      <c r="A23" s="14">
        <v>22</v>
      </c>
      <c r="B23" s="16" t="s">
        <v>398</v>
      </c>
      <c r="C23" s="14">
        <v>12</v>
      </c>
    </row>
    <row r="24" spans="1:3" x14ac:dyDescent="0.2">
      <c r="A24" s="14">
        <v>23</v>
      </c>
      <c r="B24" s="16" t="s">
        <v>399</v>
      </c>
      <c r="C24" s="14">
        <v>13</v>
      </c>
    </row>
    <row r="25" spans="1:3" x14ac:dyDescent="0.2">
      <c r="A25" s="14">
        <v>24</v>
      </c>
      <c r="B25" s="17" t="s">
        <v>44</v>
      </c>
      <c r="C25" s="18">
        <v>14</v>
      </c>
    </row>
    <row r="26" spans="1:3" x14ac:dyDescent="0.2">
      <c r="A26" s="14">
        <v>25</v>
      </c>
      <c r="B26" s="15" t="s">
        <v>400</v>
      </c>
      <c r="C26" s="14">
        <v>15</v>
      </c>
    </row>
    <row r="27" spans="1:3" x14ac:dyDescent="0.2">
      <c r="A27" s="14">
        <v>26</v>
      </c>
      <c r="B27" s="17" t="s">
        <v>22</v>
      </c>
      <c r="C27" s="18">
        <v>16</v>
      </c>
    </row>
    <row r="28" spans="1:3" x14ac:dyDescent="0.2">
      <c r="A28" s="14">
        <v>27</v>
      </c>
      <c r="B28" s="16" t="s">
        <v>89</v>
      </c>
      <c r="C28" s="14">
        <v>17</v>
      </c>
    </row>
    <row r="29" spans="1:3" x14ac:dyDescent="0.2">
      <c r="A29" s="14">
        <v>28</v>
      </c>
      <c r="B29" s="16" t="s">
        <v>21</v>
      </c>
      <c r="C29" s="14">
        <v>18</v>
      </c>
    </row>
    <row r="30" spans="1:3" x14ac:dyDescent="0.2">
      <c r="A30" s="14">
        <v>29</v>
      </c>
      <c r="B30" s="16" t="s">
        <v>54</v>
      </c>
      <c r="C30" s="14">
        <v>19</v>
      </c>
    </row>
    <row r="31" spans="1:3" x14ac:dyDescent="0.2">
      <c r="A31" s="14">
        <v>30</v>
      </c>
      <c r="B31" s="17" t="s">
        <v>401</v>
      </c>
      <c r="C31" s="18">
        <v>20</v>
      </c>
    </row>
    <row r="32" spans="1:3" x14ac:dyDescent="0.2">
      <c r="A32" s="14">
        <v>31</v>
      </c>
      <c r="B32" s="16" t="s">
        <v>402</v>
      </c>
      <c r="C32" s="14">
        <v>21</v>
      </c>
    </row>
    <row r="33" spans="1:3" x14ac:dyDescent="0.2">
      <c r="A33" s="14">
        <v>32</v>
      </c>
      <c r="B33" s="16" t="s">
        <v>76</v>
      </c>
      <c r="C33" s="14">
        <v>21</v>
      </c>
    </row>
    <row r="34" spans="1:3" x14ac:dyDescent="0.2">
      <c r="A34" s="14">
        <v>33</v>
      </c>
      <c r="B34" s="16" t="s">
        <v>403</v>
      </c>
      <c r="C34" s="14">
        <v>21</v>
      </c>
    </row>
    <row r="35" spans="1:3" x14ac:dyDescent="0.2">
      <c r="A35" s="14">
        <v>34</v>
      </c>
      <c r="B35" s="16" t="s">
        <v>404</v>
      </c>
      <c r="C35" s="14">
        <v>22</v>
      </c>
    </row>
    <row r="36" spans="1:3" x14ac:dyDescent="0.2">
      <c r="A36" s="14">
        <v>35</v>
      </c>
      <c r="B36" s="16" t="s">
        <v>405</v>
      </c>
      <c r="C36" s="14">
        <v>23</v>
      </c>
    </row>
    <row r="37" spans="1:3" x14ac:dyDescent="0.2">
      <c r="A37" s="14">
        <v>36</v>
      </c>
      <c r="B37" s="16" t="s">
        <v>175</v>
      </c>
      <c r="C37" s="14"/>
    </row>
    <row r="38" spans="1:3" x14ac:dyDescent="0.2">
      <c r="A38" s="14">
        <v>37</v>
      </c>
      <c r="B38" s="16" t="s">
        <v>406</v>
      </c>
      <c r="C38" s="14"/>
    </row>
    <row r="39" spans="1:3" x14ac:dyDescent="0.2">
      <c r="A39" s="14">
        <v>38</v>
      </c>
      <c r="B39" s="16" t="s">
        <v>407</v>
      </c>
      <c r="C39" s="14"/>
    </row>
    <row r="40" spans="1:3" x14ac:dyDescent="0.2">
      <c r="A40" s="14">
        <v>39</v>
      </c>
      <c r="B40" s="16" t="s">
        <v>95</v>
      </c>
      <c r="C40" s="14"/>
    </row>
    <row r="41" spans="1:3" x14ac:dyDescent="0.2">
      <c r="A41" s="14">
        <v>40</v>
      </c>
      <c r="B41" s="16" t="s">
        <v>408</v>
      </c>
      <c r="C41" s="14"/>
    </row>
    <row r="42" spans="1:3" x14ac:dyDescent="0.2">
      <c r="A42" s="14">
        <v>41</v>
      </c>
      <c r="B42" s="16" t="s">
        <v>85</v>
      </c>
      <c r="C42" s="14"/>
    </row>
    <row r="43" spans="1:3" x14ac:dyDescent="0.2">
      <c r="A43" s="14">
        <v>42</v>
      </c>
      <c r="B43" s="16" t="s">
        <v>409</v>
      </c>
      <c r="C43" s="14"/>
    </row>
    <row r="44" spans="1:3" x14ac:dyDescent="0.2">
      <c r="A44" s="14">
        <v>43</v>
      </c>
      <c r="B44" s="16" t="s">
        <v>27</v>
      </c>
      <c r="C44" s="14"/>
    </row>
    <row r="45" spans="1:3" x14ac:dyDescent="0.2">
      <c r="A45" s="14">
        <v>44</v>
      </c>
      <c r="B45" s="16" t="s">
        <v>410</v>
      </c>
      <c r="C45" s="14"/>
    </row>
    <row r="46" spans="1:3" x14ac:dyDescent="0.2">
      <c r="A46" s="14">
        <v>45</v>
      </c>
      <c r="B46" s="16" t="s">
        <v>375</v>
      </c>
      <c r="C46" s="14"/>
    </row>
    <row r="47" spans="1:3" x14ac:dyDescent="0.2">
      <c r="A47" s="14">
        <v>46</v>
      </c>
      <c r="B47" s="16" t="s">
        <v>411</v>
      </c>
      <c r="C47" s="14"/>
    </row>
    <row r="48" spans="1:3" x14ac:dyDescent="0.2">
      <c r="A48" s="14">
        <v>47</v>
      </c>
      <c r="B48" s="16" t="s">
        <v>412</v>
      </c>
      <c r="C48" s="14"/>
    </row>
    <row r="49" spans="1:3" x14ac:dyDescent="0.2">
      <c r="A49" s="14">
        <v>48</v>
      </c>
      <c r="B49" s="16" t="s">
        <v>413</v>
      </c>
      <c r="C49" s="14"/>
    </row>
    <row r="50" spans="1:3" x14ac:dyDescent="0.2">
      <c r="A50" s="14">
        <v>49</v>
      </c>
      <c r="B50" s="16" t="s">
        <v>130</v>
      </c>
      <c r="C50" s="14"/>
    </row>
    <row r="51" spans="1:3" x14ac:dyDescent="0.2">
      <c r="A51" s="14">
        <v>50</v>
      </c>
      <c r="B51" s="16" t="s">
        <v>414</v>
      </c>
      <c r="C51" s="14"/>
    </row>
    <row r="52" spans="1:3" x14ac:dyDescent="0.2">
      <c r="A52" s="14">
        <v>51</v>
      </c>
      <c r="B52" s="16" t="s">
        <v>415</v>
      </c>
      <c r="C52" s="14"/>
    </row>
    <row r="53" spans="1:3" x14ac:dyDescent="0.2">
      <c r="A53" s="14">
        <v>52</v>
      </c>
      <c r="B53" s="16" t="s">
        <v>416</v>
      </c>
      <c r="C53" s="14"/>
    </row>
    <row r="54" spans="1:3" x14ac:dyDescent="0.2">
      <c r="A54" s="14">
        <v>53</v>
      </c>
      <c r="B54" s="16" t="s">
        <v>417</v>
      </c>
      <c r="C54" s="14"/>
    </row>
    <row r="55" spans="1:3" x14ac:dyDescent="0.2">
      <c r="A55" s="14">
        <v>54</v>
      </c>
      <c r="B55" s="16" t="s">
        <v>418</v>
      </c>
      <c r="C55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43ECC-4EC8-4931-B1E4-AF113BE2C3CE}">
  <dimension ref="A1:B54"/>
  <sheetViews>
    <sheetView workbookViewId="0">
      <selection activeCell="B1" sqref="A1:B1"/>
    </sheetView>
  </sheetViews>
  <sheetFormatPr baseColWidth="10" defaultColWidth="11.140625" defaultRowHeight="12.75" x14ac:dyDescent="0.2"/>
  <cols>
    <col min="1" max="1" width="19.85546875" bestFit="1" customWidth="1"/>
    <col min="2" max="2" width="20.5703125" bestFit="1" customWidth="1"/>
  </cols>
  <sheetData>
    <row r="1" spans="1:2" x14ac:dyDescent="0.2">
      <c r="A1" s="28" t="s">
        <v>211</v>
      </c>
      <c r="B1" s="28" t="s">
        <v>318</v>
      </c>
    </row>
    <row r="2" spans="1:2" x14ac:dyDescent="0.2">
      <c r="A2" s="5" t="s">
        <v>212</v>
      </c>
      <c r="B2" s="5" t="s">
        <v>213</v>
      </c>
    </row>
    <row r="3" spans="1:2" x14ac:dyDescent="0.2">
      <c r="A3" s="5" t="s">
        <v>214</v>
      </c>
      <c r="B3" s="5" t="s">
        <v>215</v>
      </c>
    </row>
    <row r="4" spans="1:2" x14ac:dyDescent="0.2">
      <c r="A4" s="5" t="s">
        <v>216</v>
      </c>
      <c r="B4" s="5" t="s">
        <v>217</v>
      </c>
    </row>
    <row r="5" spans="1:2" x14ac:dyDescent="0.2">
      <c r="A5" s="5" t="s">
        <v>218</v>
      </c>
      <c r="B5" s="5" t="s">
        <v>219</v>
      </c>
    </row>
    <row r="6" spans="1:2" x14ac:dyDescent="0.2">
      <c r="A6" s="5" t="s">
        <v>220</v>
      </c>
      <c r="B6" s="5" t="s">
        <v>221</v>
      </c>
    </row>
    <row r="7" spans="1:2" x14ac:dyDescent="0.2">
      <c r="A7" s="5" t="s">
        <v>222</v>
      </c>
      <c r="B7" s="5" t="s">
        <v>223</v>
      </c>
    </row>
    <row r="8" spans="1:2" x14ac:dyDescent="0.2">
      <c r="A8" s="5" t="s">
        <v>224</v>
      </c>
      <c r="B8" s="5" t="s">
        <v>225</v>
      </c>
    </row>
    <row r="9" spans="1:2" x14ac:dyDescent="0.2">
      <c r="A9" s="5" t="s">
        <v>226</v>
      </c>
      <c r="B9" s="5" t="s">
        <v>227</v>
      </c>
    </row>
    <row r="10" spans="1:2" x14ac:dyDescent="0.2">
      <c r="A10" s="5" t="s">
        <v>228</v>
      </c>
      <c r="B10" s="5" t="s">
        <v>229</v>
      </c>
    </row>
    <row r="11" spans="1:2" x14ac:dyDescent="0.2">
      <c r="A11" s="5" t="s">
        <v>230</v>
      </c>
      <c r="B11" s="5" t="s">
        <v>231</v>
      </c>
    </row>
    <row r="12" spans="1:2" x14ac:dyDescent="0.2">
      <c r="A12" s="5" t="s">
        <v>232</v>
      </c>
      <c r="B12" s="5" t="s">
        <v>233</v>
      </c>
    </row>
    <row r="13" spans="1:2" x14ac:dyDescent="0.2">
      <c r="A13" s="5" t="s">
        <v>234</v>
      </c>
      <c r="B13" s="5" t="s">
        <v>235</v>
      </c>
    </row>
    <row r="14" spans="1:2" x14ac:dyDescent="0.2">
      <c r="A14" s="5" t="s">
        <v>236</v>
      </c>
      <c r="B14" s="5" t="s">
        <v>237</v>
      </c>
    </row>
    <row r="15" spans="1:2" x14ac:dyDescent="0.2">
      <c r="A15" s="5" t="s">
        <v>238</v>
      </c>
      <c r="B15" s="5" t="s">
        <v>239</v>
      </c>
    </row>
    <row r="16" spans="1:2" x14ac:dyDescent="0.2">
      <c r="A16" s="5" t="s">
        <v>240</v>
      </c>
      <c r="B16" s="5" t="s">
        <v>241</v>
      </c>
    </row>
    <row r="17" spans="1:2" x14ac:dyDescent="0.2">
      <c r="A17" s="5" t="s">
        <v>242</v>
      </c>
      <c r="B17" s="5" t="s">
        <v>243</v>
      </c>
    </row>
    <row r="18" spans="1:2" x14ac:dyDescent="0.2">
      <c r="A18" s="5" t="s">
        <v>244</v>
      </c>
      <c r="B18" s="5" t="s">
        <v>245</v>
      </c>
    </row>
    <row r="19" spans="1:2" x14ac:dyDescent="0.2">
      <c r="A19" s="5" t="s">
        <v>246</v>
      </c>
      <c r="B19" s="5" t="s">
        <v>247</v>
      </c>
    </row>
    <row r="20" spans="1:2" x14ac:dyDescent="0.2">
      <c r="A20" s="5" t="s">
        <v>248</v>
      </c>
      <c r="B20" s="5" t="s">
        <v>249</v>
      </c>
    </row>
    <row r="21" spans="1:2" x14ac:dyDescent="0.2">
      <c r="A21" s="5" t="s">
        <v>250</v>
      </c>
      <c r="B21" s="5" t="s">
        <v>251</v>
      </c>
    </row>
    <row r="22" spans="1:2" x14ac:dyDescent="0.2">
      <c r="A22" s="5" t="s">
        <v>252</v>
      </c>
      <c r="B22" s="5" t="s">
        <v>253</v>
      </c>
    </row>
    <row r="23" spans="1:2" x14ac:dyDescent="0.2">
      <c r="A23" s="5" t="s">
        <v>254</v>
      </c>
      <c r="B23" s="5" t="s">
        <v>255</v>
      </c>
    </row>
    <row r="24" spans="1:2" x14ac:dyDescent="0.2">
      <c r="A24" s="5" t="s">
        <v>256</v>
      </c>
      <c r="B24" s="5" t="s">
        <v>257</v>
      </c>
    </row>
    <row r="25" spans="1:2" x14ac:dyDescent="0.2">
      <c r="A25" s="5" t="s">
        <v>258</v>
      </c>
      <c r="B25" s="5" t="s">
        <v>259</v>
      </c>
    </row>
    <row r="26" spans="1:2" x14ac:dyDescent="0.2">
      <c r="A26" s="5" t="s">
        <v>260</v>
      </c>
      <c r="B26" s="5" t="s">
        <v>261</v>
      </c>
    </row>
    <row r="27" spans="1:2" x14ac:dyDescent="0.2">
      <c r="A27" s="5" t="s">
        <v>262</v>
      </c>
      <c r="B27" s="5" t="s">
        <v>263</v>
      </c>
    </row>
    <row r="28" spans="1:2" x14ac:dyDescent="0.2">
      <c r="A28" s="5" t="s">
        <v>264</v>
      </c>
      <c r="B28" s="5" t="s">
        <v>265</v>
      </c>
    </row>
    <row r="29" spans="1:2" x14ac:dyDescent="0.2">
      <c r="A29" s="5" t="s">
        <v>266</v>
      </c>
      <c r="B29" s="5" t="s">
        <v>267</v>
      </c>
    </row>
    <row r="30" spans="1:2" x14ac:dyDescent="0.2">
      <c r="A30" s="5" t="s">
        <v>268</v>
      </c>
      <c r="B30" s="5" t="s">
        <v>269</v>
      </c>
    </row>
    <row r="31" spans="1:2" x14ac:dyDescent="0.2">
      <c r="A31" s="5" t="s">
        <v>270</v>
      </c>
      <c r="B31" s="5" t="s">
        <v>271</v>
      </c>
    </row>
    <row r="32" spans="1:2" x14ac:dyDescent="0.2">
      <c r="A32" s="5" t="s">
        <v>272</v>
      </c>
      <c r="B32" s="5" t="s">
        <v>273</v>
      </c>
    </row>
    <row r="33" spans="1:2" x14ac:dyDescent="0.2">
      <c r="A33" s="5" t="s">
        <v>274</v>
      </c>
      <c r="B33" s="5" t="s">
        <v>275</v>
      </c>
    </row>
    <row r="34" spans="1:2" x14ac:dyDescent="0.2">
      <c r="A34" s="5" t="s">
        <v>276</v>
      </c>
      <c r="B34" s="5" t="s">
        <v>277</v>
      </c>
    </row>
    <row r="35" spans="1:2" x14ac:dyDescent="0.2">
      <c r="A35" s="5" t="s">
        <v>278</v>
      </c>
      <c r="B35" s="5" t="s">
        <v>279</v>
      </c>
    </row>
    <row r="36" spans="1:2" x14ac:dyDescent="0.2">
      <c r="A36" s="5" t="s">
        <v>280</v>
      </c>
      <c r="B36" s="5" t="s">
        <v>281</v>
      </c>
    </row>
    <row r="37" spans="1:2" x14ac:dyDescent="0.2">
      <c r="A37" s="5" t="s">
        <v>282</v>
      </c>
      <c r="B37" s="5" t="s">
        <v>283</v>
      </c>
    </row>
    <row r="38" spans="1:2" x14ac:dyDescent="0.2">
      <c r="A38" s="5" t="s">
        <v>284</v>
      </c>
      <c r="B38" s="5" t="s">
        <v>285</v>
      </c>
    </row>
    <row r="39" spans="1:2" x14ac:dyDescent="0.2">
      <c r="A39" s="5" t="s">
        <v>286</v>
      </c>
      <c r="B39" s="5" t="s">
        <v>287</v>
      </c>
    </row>
    <row r="40" spans="1:2" x14ac:dyDescent="0.2">
      <c r="A40" s="5" t="s">
        <v>288</v>
      </c>
      <c r="B40" s="5" t="s">
        <v>289</v>
      </c>
    </row>
    <row r="41" spans="1:2" x14ac:dyDescent="0.2">
      <c r="A41" s="5" t="s">
        <v>290</v>
      </c>
      <c r="B41" s="5" t="s">
        <v>291</v>
      </c>
    </row>
    <row r="42" spans="1:2" x14ac:dyDescent="0.2">
      <c r="A42" s="5" t="s">
        <v>292</v>
      </c>
      <c r="B42" s="5" t="s">
        <v>293</v>
      </c>
    </row>
    <row r="43" spans="1:2" x14ac:dyDescent="0.2">
      <c r="A43" s="5" t="s">
        <v>294</v>
      </c>
      <c r="B43" s="5" t="s">
        <v>295</v>
      </c>
    </row>
    <row r="44" spans="1:2" x14ac:dyDescent="0.2">
      <c r="A44" s="5" t="s">
        <v>296</v>
      </c>
      <c r="B44" s="5" t="s">
        <v>297</v>
      </c>
    </row>
    <row r="45" spans="1:2" x14ac:dyDescent="0.2">
      <c r="A45" s="5" t="s">
        <v>298</v>
      </c>
      <c r="B45" s="5" t="s">
        <v>299</v>
      </c>
    </row>
    <row r="46" spans="1:2" x14ac:dyDescent="0.2">
      <c r="A46" s="5" t="s">
        <v>300</v>
      </c>
      <c r="B46" s="5" t="s">
        <v>301</v>
      </c>
    </row>
    <row r="47" spans="1:2" x14ac:dyDescent="0.2">
      <c r="A47" s="5" t="s">
        <v>302</v>
      </c>
      <c r="B47" s="5" t="s">
        <v>303</v>
      </c>
    </row>
    <row r="48" spans="1:2" x14ac:dyDescent="0.2">
      <c r="A48" s="5" t="s">
        <v>304</v>
      </c>
      <c r="B48" s="5" t="s">
        <v>305</v>
      </c>
    </row>
    <row r="49" spans="1:2" x14ac:dyDescent="0.2">
      <c r="A49" s="5" t="s">
        <v>306</v>
      </c>
      <c r="B49" s="5" t="s">
        <v>307</v>
      </c>
    </row>
    <row r="50" spans="1:2" x14ac:dyDescent="0.2">
      <c r="A50" s="5" t="s">
        <v>308</v>
      </c>
      <c r="B50" s="5" t="s">
        <v>309</v>
      </c>
    </row>
    <row r="51" spans="1:2" x14ac:dyDescent="0.2">
      <c r="A51" s="5" t="s">
        <v>310</v>
      </c>
      <c r="B51" s="5" t="s">
        <v>311</v>
      </c>
    </row>
    <row r="52" spans="1:2" x14ac:dyDescent="0.2">
      <c r="A52" s="5" t="s">
        <v>312</v>
      </c>
      <c r="B52" s="5" t="s">
        <v>313</v>
      </c>
    </row>
    <row r="53" spans="1:2" x14ac:dyDescent="0.2">
      <c r="A53" s="5" t="s">
        <v>314</v>
      </c>
      <c r="B53" s="5" t="s">
        <v>315</v>
      </c>
    </row>
    <row r="54" spans="1:2" x14ac:dyDescent="0.2">
      <c r="A54" s="5" t="s">
        <v>316</v>
      </c>
      <c r="B54" s="5" t="s">
        <v>317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63"/>
  <sheetViews>
    <sheetView topLeftCell="B1" workbookViewId="0">
      <selection activeCell="E9" sqref="E9"/>
    </sheetView>
  </sheetViews>
  <sheetFormatPr baseColWidth="10" defaultColWidth="12.5703125" defaultRowHeight="15.75" customHeight="1" x14ac:dyDescent="0.2"/>
  <cols>
    <col min="1" max="1" width="17" style="26" bestFit="1" customWidth="1"/>
    <col min="2" max="2" width="39.42578125" style="26" bestFit="1" customWidth="1"/>
    <col min="3" max="3" width="68.85546875" style="26" bestFit="1" customWidth="1"/>
    <col min="4" max="4" width="10.7109375" style="26" bestFit="1" customWidth="1"/>
    <col min="5" max="5" width="39.7109375" style="26" bestFit="1" customWidth="1"/>
    <col min="6" max="9" width="18.85546875" style="26" customWidth="1"/>
    <col min="10" max="16384" width="12.5703125" style="26"/>
  </cols>
  <sheetData>
    <row r="1" spans="1:5" s="23" customFormat="1" ht="22.5" customHeight="1" x14ac:dyDescent="0.2">
      <c r="A1" s="2" t="s">
        <v>209</v>
      </c>
      <c r="B1" s="21" t="s">
        <v>0</v>
      </c>
      <c r="C1" s="21" t="s">
        <v>210</v>
      </c>
      <c r="D1" s="22" t="s">
        <v>319</v>
      </c>
      <c r="E1" s="22" t="s">
        <v>320</v>
      </c>
    </row>
    <row r="2" spans="1:5" ht="22.5" customHeight="1" x14ac:dyDescent="0.2">
      <c r="A2" s="3">
        <v>46175.419711724535</v>
      </c>
      <c r="B2" s="20" t="s">
        <v>1</v>
      </c>
      <c r="C2" s="20" t="s">
        <v>2</v>
      </c>
      <c r="D2" s="24">
        <v>46175</v>
      </c>
      <c r="E2" s="25" t="s">
        <v>321</v>
      </c>
    </row>
    <row r="3" spans="1:5" ht="22.5" customHeight="1" x14ac:dyDescent="0.2">
      <c r="A3" s="3">
        <v>46175.419807245373</v>
      </c>
      <c r="B3" s="20" t="s">
        <v>3</v>
      </c>
      <c r="C3" s="20" t="s">
        <v>4</v>
      </c>
      <c r="D3" s="24">
        <v>46175</v>
      </c>
      <c r="E3" s="25" t="s">
        <v>322</v>
      </c>
    </row>
    <row r="4" spans="1:5" ht="22.5" customHeight="1" x14ac:dyDescent="0.2">
      <c r="A4" s="3">
        <v>46175.419952858792</v>
      </c>
      <c r="B4" s="20" t="s">
        <v>5</v>
      </c>
      <c r="C4" s="20" t="s">
        <v>6</v>
      </c>
      <c r="D4" s="24">
        <v>46175</v>
      </c>
      <c r="E4" s="25" t="s">
        <v>323</v>
      </c>
    </row>
    <row r="5" spans="1:5" ht="22.5" customHeight="1" x14ac:dyDescent="0.2">
      <c r="A5" s="3">
        <v>46175.419990601848</v>
      </c>
      <c r="B5" s="20" t="s">
        <v>7</v>
      </c>
      <c r="C5" s="20" t="s">
        <v>8</v>
      </c>
      <c r="D5" s="24">
        <v>46175</v>
      </c>
      <c r="E5" s="25" t="s">
        <v>324</v>
      </c>
    </row>
    <row r="6" spans="1:5" ht="22.5" customHeight="1" x14ac:dyDescent="0.2">
      <c r="A6" s="3">
        <v>46175.419994756943</v>
      </c>
      <c r="B6" s="20" t="s">
        <v>9</v>
      </c>
      <c r="C6" s="20" t="s">
        <v>10</v>
      </c>
      <c r="D6" s="24">
        <v>46175</v>
      </c>
      <c r="E6" s="25" t="s">
        <v>325</v>
      </c>
    </row>
    <row r="7" spans="1:5" ht="22.5" customHeight="1" x14ac:dyDescent="0.2">
      <c r="A7" s="3">
        <v>46175.420125914352</v>
      </c>
      <c r="B7" s="20" t="s">
        <v>11</v>
      </c>
      <c r="C7" s="20" t="s">
        <v>12</v>
      </c>
      <c r="D7" s="24">
        <v>46175</v>
      </c>
      <c r="E7" s="25" t="s">
        <v>326</v>
      </c>
    </row>
    <row r="8" spans="1:5" ht="22.5" customHeight="1" x14ac:dyDescent="0.2">
      <c r="A8" s="3">
        <v>46175.420129085644</v>
      </c>
      <c r="B8" s="20" t="s">
        <v>13</v>
      </c>
      <c r="C8" s="20" t="s">
        <v>14</v>
      </c>
      <c r="D8" s="24">
        <v>46175</v>
      </c>
      <c r="E8" s="25" t="s">
        <v>142</v>
      </c>
    </row>
    <row r="9" spans="1:5" ht="22.5" customHeight="1" x14ac:dyDescent="0.2">
      <c r="A9" s="3">
        <v>46175.420277939818</v>
      </c>
      <c r="B9" s="20" t="s">
        <v>15</v>
      </c>
      <c r="C9" s="20" t="s">
        <v>16</v>
      </c>
      <c r="D9" s="24">
        <v>46175</v>
      </c>
      <c r="E9" s="25" t="s">
        <v>327</v>
      </c>
    </row>
    <row r="10" spans="1:5" ht="22.5" customHeight="1" x14ac:dyDescent="0.2">
      <c r="A10" s="3">
        <v>46175.42029962963</v>
      </c>
      <c r="B10" s="20" t="s">
        <v>17</v>
      </c>
      <c r="C10" s="20" t="s">
        <v>10</v>
      </c>
      <c r="D10" s="24">
        <v>46175</v>
      </c>
      <c r="E10" s="25" t="s">
        <v>328</v>
      </c>
    </row>
    <row r="11" spans="1:5" ht="22.5" customHeight="1" x14ac:dyDescent="0.2">
      <c r="A11" s="3">
        <v>46175.42095</v>
      </c>
      <c r="B11" s="20" t="s">
        <v>18</v>
      </c>
      <c r="C11" s="20" t="s">
        <v>10</v>
      </c>
      <c r="D11" s="24">
        <v>46175</v>
      </c>
      <c r="E11" s="25" t="s">
        <v>329</v>
      </c>
    </row>
    <row r="12" spans="1:5" ht="22.5" customHeight="1" x14ac:dyDescent="0.2">
      <c r="A12" s="3">
        <v>46175.421041400463</v>
      </c>
      <c r="B12" s="20" t="s">
        <v>19</v>
      </c>
      <c r="C12" s="20" t="s">
        <v>20</v>
      </c>
      <c r="D12" s="24">
        <v>46175</v>
      </c>
      <c r="E12" s="25" t="s">
        <v>330</v>
      </c>
    </row>
    <row r="13" spans="1:5" ht="22.5" customHeight="1" x14ac:dyDescent="0.2">
      <c r="A13" s="3">
        <v>46175.421279270835</v>
      </c>
      <c r="B13" s="20" t="s">
        <v>21</v>
      </c>
      <c r="C13" s="20" t="s">
        <v>4</v>
      </c>
      <c r="D13" s="24">
        <v>46175</v>
      </c>
      <c r="E13" s="25" t="s">
        <v>331</v>
      </c>
    </row>
    <row r="14" spans="1:5" ht="22.5" customHeight="1" x14ac:dyDescent="0.2">
      <c r="A14" s="3">
        <v>46175.421288993057</v>
      </c>
      <c r="B14" s="20" t="s">
        <v>22</v>
      </c>
      <c r="C14" s="20" t="s">
        <v>20</v>
      </c>
      <c r="D14" s="24">
        <v>46175</v>
      </c>
      <c r="E14" s="25" t="s">
        <v>332</v>
      </c>
    </row>
    <row r="15" spans="1:5" ht="22.5" customHeight="1" x14ac:dyDescent="0.2">
      <c r="A15" s="3">
        <v>46175.421568298611</v>
      </c>
      <c r="B15" s="20" t="s">
        <v>24</v>
      </c>
      <c r="C15" s="20" t="s">
        <v>6</v>
      </c>
      <c r="D15" s="24">
        <v>46175</v>
      </c>
      <c r="E15" s="25" t="s">
        <v>333</v>
      </c>
    </row>
    <row r="16" spans="1:5" ht="22.5" customHeight="1" x14ac:dyDescent="0.2">
      <c r="A16" s="3">
        <v>46175.422128842591</v>
      </c>
      <c r="B16" s="20" t="s">
        <v>25</v>
      </c>
      <c r="C16" s="20" t="s">
        <v>4</v>
      </c>
      <c r="D16" s="24">
        <v>46175</v>
      </c>
      <c r="E16" s="25" t="s">
        <v>334</v>
      </c>
    </row>
    <row r="17" spans="1:5" ht="22.5" customHeight="1" x14ac:dyDescent="0.2">
      <c r="A17" s="3">
        <v>46175.422336550924</v>
      </c>
      <c r="B17" s="20" t="s">
        <v>26</v>
      </c>
      <c r="C17" s="20" t="s">
        <v>10</v>
      </c>
      <c r="D17" s="24">
        <v>46175</v>
      </c>
      <c r="E17" s="25" t="s">
        <v>335</v>
      </c>
    </row>
    <row r="18" spans="1:5" ht="22.5" customHeight="1" x14ac:dyDescent="0.2">
      <c r="A18" s="3">
        <v>46175.422933506939</v>
      </c>
      <c r="B18" s="20" t="s">
        <v>27</v>
      </c>
      <c r="C18" s="20" t="s">
        <v>4</v>
      </c>
      <c r="D18" s="24">
        <v>46175</v>
      </c>
      <c r="E18" s="25" t="s">
        <v>336</v>
      </c>
    </row>
    <row r="19" spans="1:5" ht="22.5" customHeight="1" x14ac:dyDescent="0.2">
      <c r="A19" s="3">
        <v>46175.423510335648</v>
      </c>
      <c r="B19" s="20" t="s">
        <v>28</v>
      </c>
      <c r="C19" s="20" t="s">
        <v>29</v>
      </c>
      <c r="D19" s="24">
        <v>46175</v>
      </c>
      <c r="E19" s="25" t="s">
        <v>337</v>
      </c>
    </row>
    <row r="20" spans="1:5" ht="22.5" customHeight="1" x14ac:dyDescent="0.2">
      <c r="A20" s="3">
        <v>46175.427383495371</v>
      </c>
      <c r="B20" s="20" t="s">
        <v>30</v>
      </c>
      <c r="C20" s="20" t="s">
        <v>31</v>
      </c>
      <c r="D20" s="24">
        <v>46175</v>
      </c>
      <c r="E20" s="25" t="s">
        <v>125</v>
      </c>
    </row>
    <row r="21" spans="1:5" ht="22.5" customHeight="1" x14ac:dyDescent="0.2">
      <c r="A21" s="3">
        <v>46175.428164629629</v>
      </c>
      <c r="B21" s="20" t="s">
        <v>32</v>
      </c>
      <c r="C21" s="20" t="s">
        <v>33</v>
      </c>
      <c r="D21" s="24">
        <v>46175</v>
      </c>
      <c r="E21" s="25" t="s">
        <v>338</v>
      </c>
    </row>
    <row r="22" spans="1:5" ht="22.5" customHeight="1" x14ac:dyDescent="0.2">
      <c r="A22" s="3">
        <v>46175.435712766208</v>
      </c>
      <c r="B22" s="20" t="s">
        <v>34</v>
      </c>
      <c r="C22" s="20" t="s">
        <v>10</v>
      </c>
      <c r="D22" s="24">
        <v>46175</v>
      </c>
      <c r="E22" s="25" t="s">
        <v>339</v>
      </c>
    </row>
    <row r="23" spans="1:5" ht="22.5" customHeight="1" x14ac:dyDescent="0.2">
      <c r="A23" s="3">
        <v>46175.436381111111</v>
      </c>
      <c r="B23" s="20" t="s">
        <v>35</v>
      </c>
      <c r="C23" s="20" t="s">
        <v>4</v>
      </c>
      <c r="D23" s="24">
        <v>46175</v>
      </c>
      <c r="E23" s="25" t="s">
        <v>340</v>
      </c>
    </row>
    <row r="24" spans="1:5" ht="22.5" customHeight="1" x14ac:dyDescent="0.2">
      <c r="A24" s="3">
        <v>46175.436893009261</v>
      </c>
      <c r="B24" s="20" t="s">
        <v>36</v>
      </c>
      <c r="C24" s="20" t="s">
        <v>37</v>
      </c>
      <c r="D24" s="24">
        <v>46175</v>
      </c>
      <c r="E24" s="25" t="s">
        <v>36</v>
      </c>
    </row>
    <row r="25" spans="1:5" ht="22.5" customHeight="1" x14ac:dyDescent="0.2">
      <c r="A25" s="3">
        <v>46175.437208900461</v>
      </c>
      <c r="B25" s="20" t="s">
        <v>38</v>
      </c>
      <c r="C25" s="20" t="s">
        <v>20</v>
      </c>
      <c r="D25" s="24">
        <v>46175</v>
      </c>
      <c r="E25" s="27" t="s">
        <v>385</v>
      </c>
    </row>
    <row r="26" spans="1:5" ht="22.5" customHeight="1" x14ac:dyDescent="0.2">
      <c r="A26" s="3">
        <v>46175.437280949074</v>
      </c>
      <c r="B26" s="20" t="s">
        <v>39</v>
      </c>
      <c r="C26" s="20" t="s">
        <v>2</v>
      </c>
      <c r="D26" s="24">
        <v>46175</v>
      </c>
      <c r="E26" s="25" t="s">
        <v>342</v>
      </c>
    </row>
    <row r="27" spans="1:5" ht="22.5" customHeight="1" x14ac:dyDescent="0.2">
      <c r="A27" s="3">
        <v>46175.450980000001</v>
      </c>
      <c r="B27" s="20" t="s">
        <v>40</v>
      </c>
      <c r="C27" s="20" t="s">
        <v>10</v>
      </c>
      <c r="D27" s="24">
        <v>46175</v>
      </c>
      <c r="E27" s="25" t="s">
        <v>343</v>
      </c>
    </row>
    <row r="28" spans="1:5" ht="22.5" customHeight="1" x14ac:dyDescent="0.2">
      <c r="A28" s="3">
        <v>46175.470595243052</v>
      </c>
      <c r="B28" s="20" t="s">
        <v>41</v>
      </c>
      <c r="C28" s="20" t="s">
        <v>42</v>
      </c>
      <c r="D28" s="24">
        <v>46175</v>
      </c>
      <c r="E28" s="25" t="s">
        <v>344</v>
      </c>
    </row>
    <row r="29" spans="1:5" ht="22.5" customHeight="1" x14ac:dyDescent="0.2">
      <c r="A29" s="3">
        <v>46175.488429710647</v>
      </c>
      <c r="B29" s="20" t="s">
        <v>43</v>
      </c>
      <c r="C29" s="20" t="s">
        <v>10</v>
      </c>
      <c r="D29" s="24">
        <v>46175</v>
      </c>
      <c r="E29" s="25" t="s">
        <v>328</v>
      </c>
    </row>
    <row r="30" spans="1:5" ht="22.5" customHeight="1" x14ac:dyDescent="0.2">
      <c r="A30" s="3">
        <v>46175.488488796298</v>
      </c>
      <c r="B30" s="20" t="s">
        <v>44</v>
      </c>
      <c r="C30" s="20" t="s">
        <v>45</v>
      </c>
      <c r="D30" s="24">
        <v>46175</v>
      </c>
      <c r="E30" s="25" t="s">
        <v>44</v>
      </c>
    </row>
    <row r="31" spans="1:5" ht="22.5" customHeight="1" x14ac:dyDescent="0.2">
      <c r="A31" s="3">
        <v>46175.488602129626</v>
      </c>
      <c r="B31" s="20" t="s">
        <v>46</v>
      </c>
      <c r="C31" s="20" t="s">
        <v>47</v>
      </c>
      <c r="D31" s="24">
        <v>46175</v>
      </c>
      <c r="E31" s="25" t="s">
        <v>345</v>
      </c>
    </row>
    <row r="32" spans="1:5" ht="22.5" customHeight="1" x14ac:dyDescent="0.2">
      <c r="A32" s="3">
        <v>46175.488773379635</v>
      </c>
      <c r="B32" s="20" t="s">
        <v>48</v>
      </c>
      <c r="C32" s="20" t="s">
        <v>14</v>
      </c>
      <c r="D32" s="24">
        <v>46175</v>
      </c>
      <c r="E32" s="25" t="s">
        <v>142</v>
      </c>
    </row>
    <row r="33" spans="1:5" ht="22.5" customHeight="1" x14ac:dyDescent="0.2">
      <c r="A33" s="3">
        <v>46175.489100254628</v>
      </c>
      <c r="B33" s="20" t="s">
        <v>49</v>
      </c>
      <c r="C33" s="20" t="s">
        <v>50</v>
      </c>
      <c r="D33" s="24">
        <v>46175</v>
      </c>
      <c r="E33" s="25" t="s">
        <v>346</v>
      </c>
    </row>
    <row r="34" spans="1:5" ht="22.5" customHeight="1" x14ac:dyDescent="0.2">
      <c r="A34" s="3">
        <v>46175.516985601847</v>
      </c>
      <c r="B34" s="20" t="s">
        <v>51</v>
      </c>
      <c r="C34" s="20" t="s">
        <v>53</v>
      </c>
      <c r="D34" s="24">
        <v>46175</v>
      </c>
      <c r="E34" s="25" t="s">
        <v>347</v>
      </c>
    </row>
    <row r="35" spans="1:5" ht="22.5" customHeight="1" x14ac:dyDescent="0.2">
      <c r="A35" s="3">
        <v>46175.519467939812</v>
      </c>
      <c r="B35" s="20" t="s">
        <v>54</v>
      </c>
      <c r="C35" s="20" t="s">
        <v>10</v>
      </c>
      <c r="D35" s="24">
        <v>46175</v>
      </c>
      <c r="E35" s="25" t="s">
        <v>348</v>
      </c>
    </row>
    <row r="36" spans="1:5" ht="22.5" customHeight="1" x14ac:dyDescent="0.2">
      <c r="A36" s="3">
        <v>46176.422244421294</v>
      </c>
      <c r="B36" s="20" t="s">
        <v>40</v>
      </c>
      <c r="C36" s="20" t="s">
        <v>10</v>
      </c>
      <c r="D36" s="24">
        <v>46176</v>
      </c>
      <c r="E36" s="25" t="s">
        <v>343</v>
      </c>
    </row>
    <row r="37" spans="1:5" ht="22.5" customHeight="1" x14ac:dyDescent="0.2">
      <c r="A37" s="3">
        <v>46176.422276689816</v>
      </c>
      <c r="B37" s="20" t="s">
        <v>55</v>
      </c>
      <c r="C37" s="20" t="s">
        <v>10</v>
      </c>
      <c r="D37" s="24">
        <v>46176</v>
      </c>
      <c r="E37" s="25" t="s">
        <v>337</v>
      </c>
    </row>
    <row r="38" spans="1:5" ht="22.5" customHeight="1" x14ac:dyDescent="0.2">
      <c r="A38" s="3">
        <v>46176.42243762732</v>
      </c>
      <c r="B38" s="20" t="s">
        <v>56</v>
      </c>
      <c r="C38" s="20" t="s">
        <v>57</v>
      </c>
      <c r="D38" s="24">
        <v>46176</v>
      </c>
      <c r="E38" s="25" t="s">
        <v>324</v>
      </c>
    </row>
    <row r="39" spans="1:5" ht="22.5" customHeight="1" x14ac:dyDescent="0.2">
      <c r="A39" s="3">
        <v>46176.422448206024</v>
      </c>
      <c r="B39" s="20" t="s">
        <v>17</v>
      </c>
      <c r="C39" s="20" t="s">
        <v>10</v>
      </c>
      <c r="D39" s="24">
        <v>46176</v>
      </c>
      <c r="E39" s="25" t="s">
        <v>328</v>
      </c>
    </row>
    <row r="40" spans="1:5" ht="22.5" customHeight="1" x14ac:dyDescent="0.2">
      <c r="A40" s="3">
        <v>46176.422495578707</v>
      </c>
      <c r="B40" s="20" t="s">
        <v>54</v>
      </c>
      <c r="C40" s="20" t="s">
        <v>10</v>
      </c>
      <c r="D40" s="24">
        <v>46176</v>
      </c>
      <c r="E40" s="25" t="s">
        <v>348</v>
      </c>
    </row>
    <row r="41" spans="1:5" ht="22.5" customHeight="1" x14ac:dyDescent="0.2">
      <c r="A41" s="3">
        <v>46176.422513333338</v>
      </c>
      <c r="B41" s="20" t="s">
        <v>58</v>
      </c>
      <c r="C41" s="20" t="s">
        <v>16</v>
      </c>
      <c r="D41" s="24">
        <v>46176</v>
      </c>
      <c r="E41" s="25" t="s">
        <v>327</v>
      </c>
    </row>
    <row r="42" spans="1:5" ht="22.5" customHeight="1" x14ac:dyDescent="0.2">
      <c r="A42" s="3">
        <v>46176.422516273145</v>
      </c>
      <c r="B42" s="20" t="s">
        <v>59</v>
      </c>
      <c r="C42" s="20" t="s">
        <v>60</v>
      </c>
      <c r="D42" s="24">
        <v>46176</v>
      </c>
      <c r="E42" s="25" t="s">
        <v>323</v>
      </c>
    </row>
    <row r="43" spans="1:5" ht="22.5" customHeight="1" x14ac:dyDescent="0.2">
      <c r="A43" s="3">
        <v>46176.422630127316</v>
      </c>
      <c r="B43" s="20" t="s">
        <v>22</v>
      </c>
      <c r="C43" s="20" t="s">
        <v>20</v>
      </c>
      <c r="D43" s="24">
        <v>46176</v>
      </c>
      <c r="E43" s="25" t="s">
        <v>332</v>
      </c>
    </row>
    <row r="44" spans="1:5" ht="22.5" customHeight="1" x14ac:dyDescent="0.2">
      <c r="A44" s="3">
        <v>46176.42268625</v>
      </c>
      <c r="B44" s="20" t="s">
        <v>61</v>
      </c>
      <c r="C44" s="20" t="s">
        <v>4</v>
      </c>
      <c r="D44" s="24">
        <v>46176</v>
      </c>
      <c r="E44" s="25" t="s">
        <v>322</v>
      </c>
    </row>
    <row r="45" spans="1:5" ht="22.5" customHeight="1" x14ac:dyDescent="0.2">
      <c r="A45" s="3">
        <v>46176.423182291663</v>
      </c>
      <c r="B45" s="20" t="s">
        <v>62</v>
      </c>
      <c r="C45" s="20" t="s">
        <v>4</v>
      </c>
      <c r="D45" s="24">
        <v>46176</v>
      </c>
      <c r="E45" s="25" t="s">
        <v>334</v>
      </c>
    </row>
    <row r="46" spans="1:5" ht="22.5" customHeight="1" x14ac:dyDescent="0.2">
      <c r="A46" s="3">
        <v>46176.423230208333</v>
      </c>
      <c r="B46" s="20" t="s">
        <v>9</v>
      </c>
      <c r="C46" s="20" t="s">
        <v>63</v>
      </c>
      <c r="D46" s="24">
        <v>46176</v>
      </c>
      <c r="E46" s="25" t="s">
        <v>325</v>
      </c>
    </row>
    <row r="47" spans="1:5" ht="22.5" customHeight="1" x14ac:dyDescent="0.2">
      <c r="A47" s="3">
        <v>46176.423315231485</v>
      </c>
      <c r="B47" s="20" t="s">
        <v>64</v>
      </c>
      <c r="C47" s="20" t="s">
        <v>10</v>
      </c>
      <c r="D47" s="24">
        <v>46176</v>
      </c>
      <c r="E47" s="25" t="s">
        <v>349</v>
      </c>
    </row>
    <row r="48" spans="1:5" ht="22.5" customHeight="1" x14ac:dyDescent="0.2">
      <c r="A48" s="3">
        <v>46176.423388668976</v>
      </c>
      <c r="B48" s="20" t="s">
        <v>65</v>
      </c>
      <c r="C48" s="20" t="s">
        <v>66</v>
      </c>
      <c r="D48" s="24">
        <v>46176</v>
      </c>
      <c r="E48" s="25" t="s">
        <v>350</v>
      </c>
    </row>
    <row r="49" spans="1:5" ht="22.5" customHeight="1" x14ac:dyDescent="0.2">
      <c r="A49" s="3">
        <v>46176.423417858794</v>
      </c>
      <c r="B49" s="20" t="s">
        <v>67</v>
      </c>
      <c r="C49" s="20" t="s">
        <v>68</v>
      </c>
      <c r="D49" s="24">
        <v>46176</v>
      </c>
      <c r="E49" s="25" t="s">
        <v>326</v>
      </c>
    </row>
    <row r="50" spans="1:5" ht="22.5" customHeight="1" x14ac:dyDescent="0.2">
      <c r="A50" s="3">
        <v>46176.423653287042</v>
      </c>
      <c r="B50" s="20" t="s">
        <v>69</v>
      </c>
      <c r="C50" s="20" t="s">
        <v>70</v>
      </c>
      <c r="D50" s="24">
        <v>46176</v>
      </c>
      <c r="E50" s="25" t="s">
        <v>351</v>
      </c>
    </row>
    <row r="51" spans="1:5" ht="22.5" customHeight="1" x14ac:dyDescent="0.2">
      <c r="A51" s="3">
        <v>46176.423824571757</v>
      </c>
      <c r="B51" s="20" t="s">
        <v>24</v>
      </c>
      <c r="C51" s="20" t="s">
        <v>6</v>
      </c>
      <c r="D51" s="24">
        <v>46176</v>
      </c>
      <c r="E51" s="25" t="s">
        <v>333</v>
      </c>
    </row>
    <row r="52" spans="1:5" ht="22.5" customHeight="1" x14ac:dyDescent="0.2">
      <c r="A52" s="3">
        <v>46176.427722824075</v>
      </c>
      <c r="B52" s="20" t="s">
        <v>71</v>
      </c>
      <c r="C52" s="20" t="s">
        <v>72</v>
      </c>
      <c r="D52" s="24">
        <v>46176</v>
      </c>
      <c r="E52" s="25" t="s">
        <v>352</v>
      </c>
    </row>
    <row r="53" spans="1:5" ht="22.5" customHeight="1" x14ac:dyDescent="0.2">
      <c r="A53" s="3">
        <v>46176.430330625</v>
      </c>
      <c r="B53" s="20" t="s">
        <v>73</v>
      </c>
      <c r="C53" s="20" t="s">
        <v>10</v>
      </c>
      <c r="D53" s="24">
        <v>46176</v>
      </c>
      <c r="E53" s="25" t="s">
        <v>335</v>
      </c>
    </row>
    <row r="54" spans="1:5" ht="22.5" customHeight="1" x14ac:dyDescent="0.2">
      <c r="A54" s="3">
        <v>46176.43033456018</v>
      </c>
      <c r="B54" s="20" t="s">
        <v>74</v>
      </c>
      <c r="C54" s="20" t="s">
        <v>53</v>
      </c>
      <c r="D54" s="24">
        <v>46176</v>
      </c>
      <c r="E54" s="25" t="s">
        <v>142</v>
      </c>
    </row>
    <row r="55" spans="1:5" ht="22.5" customHeight="1" x14ac:dyDescent="0.2">
      <c r="A55" s="3">
        <v>46176.431760219908</v>
      </c>
      <c r="B55" s="20" t="s">
        <v>75</v>
      </c>
      <c r="C55" s="20" t="s">
        <v>10</v>
      </c>
      <c r="D55" s="24">
        <v>46176</v>
      </c>
      <c r="E55" s="25" t="s">
        <v>339</v>
      </c>
    </row>
    <row r="56" spans="1:5" ht="22.5" customHeight="1" x14ac:dyDescent="0.2">
      <c r="A56" s="3">
        <v>46176.43265289352</v>
      </c>
      <c r="B56" s="20" t="s">
        <v>76</v>
      </c>
      <c r="C56" s="20" t="s">
        <v>10</v>
      </c>
      <c r="D56" s="24">
        <v>46176</v>
      </c>
      <c r="E56" s="25" t="s">
        <v>125</v>
      </c>
    </row>
    <row r="57" spans="1:5" ht="22.5" customHeight="1" x14ac:dyDescent="0.2">
      <c r="A57" s="3">
        <v>46176.433786701389</v>
      </c>
      <c r="B57" s="20" t="s">
        <v>49</v>
      </c>
      <c r="C57" s="20" t="s">
        <v>77</v>
      </c>
      <c r="D57" s="24">
        <v>46176</v>
      </c>
      <c r="E57" s="25" t="s">
        <v>346</v>
      </c>
    </row>
    <row r="58" spans="1:5" ht="22.5" customHeight="1" x14ac:dyDescent="0.2">
      <c r="A58" s="3">
        <v>46176.433899224532</v>
      </c>
      <c r="B58" s="20" t="s">
        <v>21</v>
      </c>
      <c r="C58" s="20" t="s">
        <v>4</v>
      </c>
      <c r="D58" s="24">
        <v>46176</v>
      </c>
      <c r="E58" s="25" t="s">
        <v>331</v>
      </c>
    </row>
    <row r="59" spans="1:5" ht="22.5" customHeight="1" x14ac:dyDescent="0.2">
      <c r="A59" s="3">
        <v>46176.43493127315</v>
      </c>
      <c r="B59" s="20" t="s">
        <v>78</v>
      </c>
      <c r="C59" s="20" t="s">
        <v>79</v>
      </c>
      <c r="D59" s="24">
        <v>46176</v>
      </c>
      <c r="E59" s="25" t="s">
        <v>338</v>
      </c>
    </row>
    <row r="60" spans="1:5" ht="22.5" customHeight="1" x14ac:dyDescent="0.2">
      <c r="A60" s="3">
        <v>46176.435312337962</v>
      </c>
      <c r="B60" s="20" t="s">
        <v>80</v>
      </c>
      <c r="C60" s="20" t="s">
        <v>81</v>
      </c>
      <c r="D60" s="24">
        <v>46176</v>
      </c>
      <c r="E60" s="25" t="s">
        <v>341</v>
      </c>
    </row>
    <row r="61" spans="1:5" ht="22.5" customHeight="1" x14ac:dyDescent="0.2">
      <c r="A61" s="3">
        <v>46176.435930405089</v>
      </c>
      <c r="B61" s="20" t="s">
        <v>82</v>
      </c>
      <c r="C61" s="20" t="s">
        <v>8</v>
      </c>
      <c r="D61" s="24">
        <v>46176</v>
      </c>
      <c r="E61" s="25" t="s">
        <v>340</v>
      </c>
    </row>
    <row r="62" spans="1:5" ht="22.5" customHeight="1" x14ac:dyDescent="0.2">
      <c r="A62" s="3">
        <v>46176.436374930556</v>
      </c>
      <c r="B62" s="20" t="s">
        <v>82</v>
      </c>
      <c r="C62" s="20" t="s">
        <v>83</v>
      </c>
      <c r="D62" s="24">
        <v>46176</v>
      </c>
      <c r="E62" s="25" t="s">
        <v>340</v>
      </c>
    </row>
    <row r="63" spans="1:5" ht="22.5" customHeight="1" x14ac:dyDescent="0.2">
      <c r="A63" s="3">
        <v>46176.436641574073</v>
      </c>
      <c r="B63" s="20" t="s">
        <v>39</v>
      </c>
      <c r="C63" s="20" t="s">
        <v>84</v>
      </c>
      <c r="D63" s="24">
        <v>46176</v>
      </c>
      <c r="E63" s="25" t="s">
        <v>342</v>
      </c>
    </row>
    <row r="64" spans="1:5" ht="22.5" customHeight="1" x14ac:dyDescent="0.2">
      <c r="A64" s="3">
        <v>46176.462787048615</v>
      </c>
      <c r="B64" s="20" t="s">
        <v>85</v>
      </c>
      <c r="C64" s="20" t="s">
        <v>86</v>
      </c>
      <c r="D64" s="24">
        <v>46176</v>
      </c>
      <c r="E64" s="25" t="s">
        <v>353</v>
      </c>
    </row>
    <row r="65" spans="1:5" ht="22.5" customHeight="1" x14ac:dyDescent="0.2">
      <c r="A65" s="3">
        <v>46176.47180024306</v>
      </c>
      <c r="B65" s="20" t="s">
        <v>36</v>
      </c>
      <c r="C65" s="20" t="s">
        <v>87</v>
      </c>
      <c r="D65" s="24">
        <v>46176</v>
      </c>
      <c r="E65" s="25" t="s">
        <v>36</v>
      </c>
    </row>
    <row r="66" spans="1:5" ht="22.5" customHeight="1" x14ac:dyDescent="0.2">
      <c r="A66" s="3">
        <v>46176.475683530094</v>
      </c>
      <c r="B66" s="20" t="s">
        <v>88</v>
      </c>
      <c r="C66" s="20" t="s">
        <v>2</v>
      </c>
      <c r="D66" s="24">
        <v>46176</v>
      </c>
      <c r="E66" s="25" t="s">
        <v>321</v>
      </c>
    </row>
    <row r="67" spans="1:5" ht="22.5" customHeight="1" x14ac:dyDescent="0.2">
      <c r="A67" s="3">
        <v>46176.475771516205</v>
      </c>
      <c r="B67" s="20" t="s">
        <v>89</v>
      </c>
      <c r="C67" s="20" t="s">
        <v>86</v>
      </c>
      <c r="D67" s="24">
        <v>46176</v>
      </c>
      <c r="E67" s="25" t="s">
        <v>347</v>
      </c>
    </row>
    <row r="68" spans="1:5" ht="22.5" customHeight="1" x14ac:dyDescent="0.2">
      <c r="A68" s="3">
        <v>46176.475860856481</v>
      </c>
      <c r="B68" s="20" t="s">
        <v>90</v>
      </c>
      <c r="C68" s="20" t="s">
        <v>91</v>
      </c>
      <c r="D68" s="24">
        <v>46176</v>
      </c>
      <c r="E68" s="25" t="s">
        <v>354</v>
      </c>
    </row>
    <row r="69" spans="1:5" ht="22.5" customHeight="1" x14ac:dyDescent="0.2">
      <c r="A69" s="3">
        <v>46176.476697002319</v>
      </c>
      <c r="B69" s="20" t="s">
        <v>46</v>
      </c>
      <c r="C69" s="20" t="s">
        <v>92</v>
      </c>
      <c r="D69" s="24">
        <v>46176</v>
      </c>
      <c r="E69" s="25" t="s">
        <v>345</v>
      </c>
    </row>
    <row r="70" spans="1:5" ht="22.5" customHeight="1" x14ac:dyDescent="0.2">
      <c r="A70" s="3">
        <v>46176.496894004631</v>
      </c>
      <c r="B70" s="20" t="s">
        <v>93</v>
      </c>
      <c r="C70" s="20" t="s">
        <v>94</v>
      </c>
      <c r="D70" s="24">
        <v>46176</v>
      </c>
      <c r="E70" s="25" t="s">
        <v>44</v>
      </c>
    </row>
    <row r="71" spans="1:5" ht="22.5" customHeight="1" x14ac:dyDescent="0.2">
      <c r="A71" s="3">
        <v>46176.500019513885</v>
      </c>
      <c r="B71" s="20" t="s">
        <v>95</v>
      </c>
      <c r="C71" s="20" t="s">
        <v>23</v>
      </c>
      <c r="D71" s="24">
        <v>46176</v>
      </c>
      <c r="E71" s="25" t="s">
        <v>355</v>
      </c>
    </row>
    <row r="72" spans="1:5" ht="22.5" customHeight="1" x14ac:dyDescent="0.2">
      <c r="A72" s="3">
        <v>46176.500607800925</v>
      </c>
      <c r="B72" s="20" t="s">
        <v>18</v>
      </c>
      <c r="C72" s="20" t="s">
        <v>96</v>
      </c>
      <c r="D72" s="24">
        <v>46176</v>
      </c>
      <c r="E72" s="25" t="s">
        <v>329</v>
      </c>
    </row>
    <row r="73" spans="1:5" ht="22.5" customHeight="1" x14ac:dyDescent="0.2">
      <c r="A73" s="3">
        <v>46176.519290081022</v>
      </c>
      <c r="B73" s="20" t="s">
        <v>97</v>
      </c>
      <c r="C73" s="20" t="s">
        <v>42</v>
      </c>
      <c r="D73" s="24">
        <v>46176</v>
      </c>
      <c r="E73" s="25" t="s">
        <v>344</v>
      </c>
    </row>
    <row r="74" spans="1:5" ht="22.5" customHeight="1" x14ac:dyDescent="0.2">
      <c r="A74" s="3">
        <v>46176.526094872686</v>
      </c>
      <c r="B74" s="20" t="s">
        <v>38</v>
      </c>
      <c r="C74" s="20" t="s">
        <v>20</v>
      </c>
      <c r="D74" s="24">
        <v>46176</v>
      </c>
      <c r="E74" s="25" t="s">
        <v>385</v>
      </c>
    </row>
    <row r="75" spans="1:5" ht="22.5" customHeight="1" x14ac:dyDescent="0.2">
      <c r="A75" s="3">
        <v>46176.526765891205</v>
      </c>
      <c r="B75" s="20" t="s">
        <v>98</v>
      </c>
      <c r="C75" s="20" t="s">
        <v>99</v>
      </c>
      <c r="D75" s="24">
        <v>46176</v>
      </c>
      <c r="E75" s="25" t="s">
        <v>330</v>
      </c>
    </row>
    <row r="76" spans="1:5" ht="22.5" customHeight="1" x14ac:dyDescent="0.2">
      <c r="A76" s="3">
        <v>46176.527719340273</v>
      </c>
      <c r="B76" s="20" t="s">
        <v>100</v>
      </c>
      <c r="C76" s="20" t="s">
        <v>101</v>
      </c>
      <c r="D76" s="24">
        <v>46176</v>
      </c>
      <c r="E76" s="25" t="s">
        <v>155</v>
      </c>
    </row>
    <row r="77" spans="1:5" ht="22.5" customHeight="1" x14ac:dyDescent="0.2">
      <c r="A77" s="3">
        <v>46176.528955381946</v>
      </c>
      <c r="B77" s="20" t="s">
        <v>102</v>
      </c>
      <c r="C77" s="20" t="s">
        <v>103</v>
      </c>
      <c r="D77" s="24">
        <v>46176</v>
      </c>
      <c r="E77" s="25" t="s">
        <v>356</v>
      </c>
    </row>
    <row r="78" spans="1:5" ht="22.5" customHeight="1" x14ac:dyDescent="0.2">
      <c r="A78" s="3">
        <v>46176.530710439816</v>
      </c>
      <c r="B78" s="20" t="s">
        <v>17</v>
      </c>
      <c r="C78" s="20" t="s">
        <v>104</v>
      </c>
      <c r="D78" s="24">
        <v>46176</v>
      </c>
      <c r="E78" s="25" t="s">
        <v>328</v>
      </c>
    </row>
    <row r="79" spans="1:5" ht="22.5" customHeight="1" x14ac:dyDescent="0.2">
      <c r="A79" s="3">
        <v>46176.537984837967</v>
      </c>
      <c r="B79" s="20" t="s">
        <v>18</v>
      </c>
      <c r="C79" s="20" t="s">
        <v>96</v>
      </c>
      <c r="D79" s="24">
        <v>46176</v>
      </c>
      <c r="E79" s="25" t="s">
        <v>329</v>
      </c>
    </row>
    <row r="80" spans="1:5" ht="22.5" customHeight="1" x14ac:dyDescent="0.2">
      <c r="A80" s="3">
        <v>46176.544261979172</v>
      </c>
      <c r="B80" s="20" t="s">
        <v>64</v>
      </c>
      <c r="C80" s="20" t="s">
        <v>10</v>
      </c>
      <c r="D80" s="24">
        <v>46176</v>
      </c>
      <c r="E80" s="25" t="s">
        <v>349</v>
      </c>
    </row>
    <row r="81" spans="1:5" ht="22.5" customHeight="1" x14ac:dyDescent="0.2">
      <c r="A81" s="3">
        <v>46177.446567025458</v>
      </c>
      <c r="B81" s="20" t="s">
        <v>64</v>
      </c>
      <c r="C81" s="20" t="s">
        <v>10</v>
      </c>
      <c r="D81" s="24">
        <v>46177</v>
      </c>
      <c r="E81" s="25" t="s">
        <v>349</v>
      </c>
    </row>
    <row r="82" spans="1:5" ht="22.5" customHeight="1" x14ac:dyDescent="0.2">
      <c r="A82" s="3">
        <v>46177.446635138884</v>
      </c>
      <c r="B82" s="20" t="s">
        <v>65</v>
      </c>
      <c r="C82" s="20" t="s">
        <v>66</v>
      </c>
      <c r="D82" s="24">
        <v>46177</v>
      </c>
      <c r="E82" s="25" t="s">
        <v>350</v>
      </c>
    </row>
    <row r="83" spans="1:5" ht="22.5" customHeight="1" x14ac:dyDescent="0.2">
      <c r="A83" s="3">
        <v>46177.446711828699</v>
      </c>
      <c r="B83" s="20" t="s">
        <v>56</v>
      </c>
      <c r="C83" s="20" t="s">
        <v>105</v>
      </c>
      <c r="D83" s="24">
        <v>46177</v>
      </c>
      <c r="E83" s="25" t="s">
        <v>324</v>
      </c>
    </row>
    <row r="84" spans="1:5" ht="22.5" customHeight="1" x14ac:dyDescent="0.2">
      <c r="A84" s="3">
        <v>46177.446713321755</v>
      </c>
      <c r="B84" s="20" t="s">
        <v>106</v>
      </c>
      <c r="C84" s="20" t="s">
        <v>10</v>
      </c>
      <c r="D84" s="24">
        <v>46177</v>
      </c>
      <c r="E84" s="25" t="s">
        <v>339</v>
      </c>
    </row>
    <row r="85" spans="1:5" ht="22.5" customHeight="1" x14ac:dyDescent="0.2">
      <c r="A85" s="3">
        <v>46177.446779467587</v>
      </c>
      <c r="B85" s="20" t="s">
        <v>40</v>
      </c>
      <c r="C85" s="20" t="s">
        <v>10</v>
      </c>
      <c r="D85" s="24">
        <v>46177</v>
      </c>
      <c r="E85" s="25" t="s">
        <v>343</v>
      </c>
    </row>
    <row r="86" spans="1:5" ht="22.5" customHeight="1" x14ac:dyDescent="0.2">
      <c r="A86" s="3">
        <v>46177.446805324071</v>
      </c>
      <c r="B86" s="20" t="s">
        <v>9</v>
      </c>
      <c r="C86" s="20" t="s">
        <v>107</v>
      </c>
      <c r="D86" s="24">
        <v>46177</v>
      </c>
      <c r="E86" s="25" t="s">
        <v>325</v>
      </c>
    </row>
    <row r="87" spans="1:5" ht="22.5" customHeight="1" x14ac:dyDescent="0.2">
      <c r="A87" s="3">
        <v>46177.44683799769</v>
      </c>
      <c r="B87" s="20" t="s">
        <v>73</v>
      </c>
      <c r="C87" s="20" t="s">
        <v>10</v>
      </c>
      <c r="D87" s="24">
        <v>46177</v>
      </c>
      <c r="E87" s="25" t="s">
        <v>335</v>
      </c>
    </row>
    <row r="88" spans="1:5" ht="22.5" customHeight="1" x14ac:dyDescent="0.2">
      <c r="A88" s="3">
        <v>46177.446903229167</v>
      </c>
      <c r="B88" s="20" t="s">
        <v>64</v>
      </c>
      <c r="C88" s="20" t="s">
        <v>10</v>
      </c>
      <c r="D88" s="24">
        <v>46177</v>
      </c>
      <c r="E88" s="25" t="s">
        <v>349</v>
      </c>
    </row>
    <row r="89" spans="1:5" ht="22.5" customHeight="1" x14ac:dyDescent="0.2">
      <c r="A89" s="3">
        <v>46177.446927974539</v>
      </c>
      <c r="B89" s="20" t="s">
        <v>36</v>
      </c>
      <c r="C89" s="20" t="s">
        <v>10</v>
      </c>
      <c r="D89" s="24">
        <v>46177</v>
      </c>
      <c r="E89" s="25" t="s">
        <v>36</v>
      </c>
    </row>
    <row r="90" spans="1:5" ht="22.5" customHeight="1" x14ac:dyDescent="0.2">
      <c r="A90" s="3">
        <v>46177.446939027781</v>
      </c>
      <c r="B90" s="20" t="s">
        <v>17</v>
      </c>
      <c r="C90" s="20" t="s">
        <v>104</v>
      </c>
      <c r="D90" s="24">
        <v>46177</v>
      </c>
      <c r="E90" s="25" t="s">
        <v>328</v>
      </c>
    </row>
    <row r="91" spans="1:5" ht="22.5" customHeight="1" x14ac:dyDescent="0.2">
      <c r="A91" s="3">
        <v>46177.446988611111</v>
      </c>
      <c r="B91" s="20" t="s">
        <v>39</v>
      </c>
      <c r="C91" s="20" t="s">
        <v>84</v>
      </c>
      <c r="D91" s="24">
        <v>46177</v>
      </c>
      <c r="E91" s="25" t="s">
        <v>342</v>
      </c>
    </row>
    <row r="92" spans="1:5" ht="22.5" customHeight="1" x14ac:dyDescent="0.2">
      <c r="A92" s="3">
        <v>46177.447797696761</v>
      </c>
      <c r="B92" s="20" t="s">
        <v>58</v>
      </c>
      <c r="C92" s="20" t="s">
        <v>16</v>
      </c>
      <c r="D92" s="24">
        <v>46177</v>
      </c>
      <c r="E92" s="25" t="s">
        <v>327</v>
      </c>
    </row>
    <row r="93" spans="1:5" ht="22.5" customHeight="1" x14ac:dyDescent="0.2">
      <c r="A93" s="3">
        <v>46177.448061932868</v>
      </c>
      <c r="B93" s="20" t="s">
        <v>35</v>
      </c>
      <c r="C93" s="20" t="s">
        <v>4</v>
      </c>
      <c r="D93" s="24">
        <v>46177</v>
      </c>
      <c r="E93" s="25" t="s">
        <v>340</v>
      </c>
    </row>
    <row r="94" spans="1:5" ht="22.5" customHeight="1" x14ac:dyDescent="0.2">
      <c r="A94" s="3">
        <v>46177.448366921293</v>
      </c>
      <c r="B94" s="20" t="s">
        <v>108</v>
      </c>
      <c r="C94" s="20" t="s">
        <v>20</v>
      </c>
      <c r="D94" s="24">
        <v>46177</v>
      </c>
      <c r="E94" s="25" t="s">
        <v>332</v>
      </c>
    </row>
    <row r="95" spans="1:5" ht="22.5" customHeight="1" x14ac:dyDescent="0.2">
      <c r="A95" s="3">
        <v>46177.448962766204</v>
      </c>
      <c r="B95" s="20" t="s">
        <v>109</v>
      </c>
      <c r="C95" s="20" t="s">
        <v>53</v>
      </c>
      <c r="D95" s="24">
        <v>46177</v>
      </c>
      <c r="E95" s="25" t="s">
        <v>353</v>
      </c>
    </row>
    <row r="96" spans="1:5" ht="22.5" customHeight="1" x14ac:dyDescent="0.2">
      <c r="A96" s="3">
        <v>46177.449405891202</v>
      </c>
      <c r="B96" s="20" t="s">
        <v>85</v>
      </c>
      <c r="C96" s="20" t="s">
        <v>53</v>
      </c>
      <c r="D96" s="24">
        <v>46177</v>
      </c>
      <c r="E96" s="25" t="s">
        <v>353</v>
      </c>
    </row>
    <row r="97" spans="1:5" ht="22.5" customHeight="1" x14ac:dyDescent="0.2">
      <c r="A97" s="3">
        <v>46177.449671747687</v>
      </c>
      <c r="B97" s="20" t="s">
        <v>110</v>
      </c>
      <c r="C97" s="20" t="s">
        <v>10</v>
      </c>
      <c r="D97" s="24">
        <v>46177</v>
      </c>
      <c r="E97" s="25" t="s">
        <v>125</v>
      </c>
    </row>
    <row r="98" spans="1:5" ht="22.5" customHeight="1" x14ac:dyDescent="0.2">
      <c r="A98" s="3">
        <v>46177.449851550926</v>
      </c>
      <c r="B98" s="20" t="s">
        <v>21</v>
      </c>
      <c r="C98" s="20" t="s">
        <v>4</v>
      </c>
      <c r="D98" s="24">
        <v>46177</v>
      </c>
      <c r="E98" s="25" t="s">
        <v>331</v>
      </c>
    </row>
    <row r="99" spans="1:5" ht="22.5" customHeight="1" x14ac:dyDescent="0.2">
      <c r="A99" s="3">
        <v>46177.451985162035</v>
      </c>
      <c r="B99" s="20" t="s">
        <v>111</v>
      </c>
      <c r="C99" s="20" t="s">
        <v>112</v>
      </c>
      <c r="D99" s="24">
        <v>46177</v>
      </c>
      <c r="E99" s="25" t="s">
        <v>351</v>
      </c>
    </row>
    <row r="100" spans="1:5" ht="22.5" customHeight="1" x14ac:dyDescent="0.2">
      <c r="A100" s="3">
        <v>46177.453631168981</v>
      </c>
      <c r="B100" s="20" t="s">
        <v>54</v>
      </c>
      <c r="C100" s="20" t="s">
        <v>10</v>
      </c>
      <c r="D100" s="24">
        <v>46177</v>
      </c>
      <c r="E100" s="25" t="s">
        <v>348</v>
      </c>
    </row>
    <row r="101" spans="1:5" ht="22.5" customHeight="1" x14ac:dyDescent="0.2">
      <c r="A101" s="3">
        <v>46177.454040682875</v>
      </c>
      <c r="B101" s="20" t="s">
        <v>49</v>
      </c>
      <c r="C101" s="20" t="s">
        <v>77</v>
      </c>
      <c r="D101" s="24">
        <v>46177</v>
      </c>
      <c r="E101" s="25" t="s">
        <v>346</v>
      </c>
    </row>
    <row r="102" spans="1:5" ht="22.5" customHeight="1" x14ac:dyDescent="0.2">
      <c r="A102" s="3">
        <v>46177.454646782411</v>
      </c>
      <c r="B102" s="20" t="s">
        <v>59</v>
      </c>
      <c r="C102" s="20" t="s">
        <v>60</v>
      </c>
      <c r="D102" s="24">
        <v>46177</v>
      </c>
      <c r="E102" s="25" t="s">
        <v>323</v>
      </c>
    </row>
    <row r="103" spans="1:5" ht="22.5" customHeight="1" x14ac:dyDescent="0.2">
      <c r="A103" s="3">
        <v>46177.455682002314</v>
      </c>
      <c r="B103" s="20" t="s">
        <v>113</v>
      </c>
      <c r="C103" s="20" t="s">
        <v>6</v>
      </c>
      <c r="D103" s="24">
        <v>46177</v>
      </c>
      <c r="E103" s="25" t="s">
        <v>333</v>
      </c>
    </row>
    <row r="104" spans="1:5" ht="22.5" customHeight="1" x14ac:dyDescent="0.2">
      <c r="A104" s="3">
        <v>46177.457760671299</v>
      </c>
      <c r="B104" s="20" t="s">
        <v>114</v>
      </c>
      <c r="C104" s="20" t="s">
        <v>10</v>
      </c>
      <c r="D104" s="24">
        <v>46177</v>
      </c>
      <c r="E104" s="25" t="s">
        <v>337</v>
      </c>
    </row>
    <row r="105" spans="1:5" ht="22.5" customHeight="1" x14ac:dyDescent="0.2">
      <c r="A105" s="3">
        <v>46177.463962974536</v>
      </c>
      <c r="B105" s="20" t="s">
        <v>18</v>
      </c>
      <c r="C105" s="20" t="s">
        <v>96</v>
      </c>
      <c r="D105" s="24">
        <v>46177</v>
      </c>
      <c r="E105" s="25" t="s">
        <v>329</v>
      </c>
    </row>
    <row r="106" spans="1:5" ht="22.5" customHeight="1" x14ac:dyDescent="0.2">
      <c r="A106" s="3">
        <v>46177.465810578702</v>
      </c>
      <c r="B106" s="20" t="s">
        <v>115</v>
      </c>
      <c r="C106" s="20" t="s">
        <v>116</v>
      </c>
      <c r="D106" s="24">
        <v>46177</v>
      </c>
      <c r="E106" s="25" t="s">
        <v>354</v>
      </c>
    </row>
    <row r="107" spans="1:5" ht="22.5" customHeight="1" x14ac:dyDescent="0.2">
      <c r="A107" s="3">
        <v>46177.46733402778</v>
      </c>
      <c r="B107" s="20" t="s">
        <v>88</v>
      </c>
      <c r="C107" s="20" t="s">
        <v>2</v>
      </c>
      <c r="D107" s="24">
        <v>46177</v>
      </c>
      <c r="E107" s="25" t="s">
        <v>321</v>
      </c>
    </row>
    <row r="108" spans="1:5" ht="22.5" customHeight="1" x14ac:dyDescent="0.2">
      <c r="A108" s="3">
        <v>46177.471926180559</v>
      </c>
      <c r="B108" s="20" t="s">
        <v>38</v>
      </c>
      <c r="C108" s="20" t="s">
        <v>20</v>
      </c>
      <c r="D108" s="24">
        <v>46177</v>
      </c>
      <c r="E108" s="25" t="s">
        <v>385</v>
      </c>
    </row>
    <row r="109" spans="1:5" ht="22.5" customHeight="1" x14ac:dyDescent="0.2">
      <c r="A109" s="3">
        <v>46177.472264421296</v>
      </c>
      <c r="B109" s="20" t="s">
        <v>74</v>
      </c>
      <c r="C109" s="20" t="s">
        <v>117</v>
      </c>
      <c r="D109" s="24">
        <v>46177</v>
      </c>
      <c r="E109" s="25" t="s">
        <v>142</v>
      </c>
    </row>
    <row r="110" spans="1:5" ht="22.5" customHeight="1" x14ac:dyDescent="0.2">
      <c r="A110" s="3">
        <v>46177.472628969903</v>
      </c>
      <c r="B110" s="20" t="s">
        <v>61</v>
      </c>
      <c r="C110" s="20" t="s">
        <v>118</v>
      </c>
      <c r="D110" s="24">
        <v>46177</v>
      </c>
      <c r="E110" s="25" t="s">
        <v>322</v>
      </c>
    </row>
    <row r="111" spans="1:5" ht="22.5" customHeight="1" x14ac:dyDescent="0.2">
      <c r="A111" s="3">
        <v>46177.475072800924</v>
      </c>
      <c r="B111" s="20" t="s">
        <v>119</v>
      </c>
      <c r="C111" s="20" t="s">
        <v>72</v>
      </c>
      <c r="D111" s="24">
        <v>46177</v>
      </c>
      <c r="E111" s="25" t="s">
        <v>352</v>
      </c>
    </row>
    <row r="112" spans="1:5" ht="22.5" customHeight="1" x14ac:dyDescent="0.2">
      <c r="A112" s="3">
        <v>46177.478076435189</v>
      </c>
      <c r="B112" s="20" t="s">
        <v>67</v>
      </c>
      <c r="C112" s="20" t="s">
        <v>20</v>
      </c>
      <c r="D112" s="24">
        <v>46177</v>
      </c>
      <c r="E112" s="25" t="s">
        <v>326</v>
      </c>
    </row>
    <row r="113" spans="1:5" ht="22.5" customHeight="1" x14ac:dyDescent="0.2">
      <c r="A113" s="3">
        <v>46177.491639675922</v>
      </c>
      <c r="B113" s="20" t="s">
        <v>98</v>
      </c>
      <c r="C113" s="20" t="s">
        <v>120</v>
      </c>
      <c r="D113" s="24">
        <v>46177</v>
      </c>
      <c r="E113" s="25" t="s">
        <v>330</v>
      </c>
    </row>
    <row r="114" spans="1:5" ht="22.5" customHeight="1" x14ac:dyDescent="0.2">
      <c r="A114" s="3">
        <v>46177.494283113425</v>
      </c>
      <c r="B114" s="20" t="s">
        <v>121</v>
      </c>
      <c r="C114" s="20" t="s">
        <v>122</v>
      </c>
      <c r="D114" s="24">
        <v>46177</v>
      </c>
      <c r="E114" s="25" t="s">
        <v>155</v>
      </c>
    </row>
    <row r="115" spans="1:5" ht="22.5" customHeight="1" x14ac:dyDescent="0.2">
      <c r="A115" s="3">
        <v>46177.495147789348</v>
      </c>
      <c r="B115" s="20" t="s">
        <v>121</v>
      </c>
      <c r="C115" s="20" t="s">
        <v>4</v>
      </c>
      <c r="D115" s="24">
        <v>46177</v>
      </c>
      <c r="E115" s="25" t="s">
        <v>155</v>
      </c>
    </row>
    <row r="116" spans="1:5" ht="22.5" customHeight="1" x14ac:dyDescent="0.2">
      <c r="A116" s="3">
        <v>46177.511469907404</v>
      </c>
      <c r="B116" s="20" t="s">
        <v>78</v>
      </c>
      <c r="C116" s="20" t="s">
        <v>123</v>
      </c>
      <c r="D116" s="24">
        <v>46177</v>
      </c>
      <c r="E116" s="25" t="s">
        <v>338</v>
      </c>
    </row>
    <row r="117" spans="1:5" ht="22.5" customHeight="1" x14ac:dyDescent="0.2">
      <c r="A117" s="3">
        <v>46177.543515196754</v>
      </c>
      <c r="B117" s="20" t="s">
        <v>25</v>
      </c>
      <c r="C117" s="20" t="s">
        <v>10</v>
      </c>
      <c r="D117" s="24">
        <v>46177</v>
      </c>
      <c r="E117" s="25" t="s">
        <v>334</v>
      </c>
    </row>
    <row r="118" spans="1:5" ht="22.5" customHeight="1" x14ac:dyDescent="0.2">
      <c r="A118" s="3">
        <v>46182.423451886571</v>
      </c>
      <c r="B118" s="20" t="s">
        <v>85</v>
      </c>
      <c r="C118" s="20" t="s">
        <v>53</v>
      </c>
      <c r="D118" s="24">
        <v>46182</v>
      </c>
      <c r="E118" s="25" t="s">
        <v>353</v>
      </c>
    </row>
    <row r="119" spans="1:5" ht="22.5" customHeight="1" x14ac:dyDescent="0.2">
      <c r="A119" s="3">
        <v>46182.456729178244</v>
      </c>
      <c r="B119" s="20" t="s">
        <v>5</v>
      </c>
      <c r="C119" s="20" t="s">
        <v>60</v>
      </c>
      <c r="D119" s="24">
        <v>46182</v>
      </c>
      <c r="E119" s="25" t="s">
        <v>323</v>
      </c>
    </row>
    <row r="120" spans="1:5" ht="22.5" customHeight="1" x14ac:dyDescent="0.2">
      <c r="A120" s="3">
        <v>46182.456762210648</v>
      </c>
      <c r="B120" s="20" t="s">
        <v>89</v>
      </c>
      <c r="C120" s="20" t="s">
        <v>124</v>
      </c>
      <c r="D120" s="24">
        <v>46182</v>
      </c>
      <c r="E120" s="25" t="s">
        <v>347</v>
      </c>
    </row>
    <row r="121" spans="1:5" ht="22.5" customHeight="1" x14ac:dyDescent="0.2">
      <c r="A121" s="3">
        <v>46182.456776666666</v>
      </c>
      <c r="B121" s="20" t="s">
        <v>106</v>
      </c>
      <c r="C121" s="20" t="s">
        <v>10</v>
      </c>
      <c r="D121" s="24">
        <v>46182</v>
      </c>
      <c r="E121" s="25" t="s">
        <v>339</v>
      </c>
    </row>
    <row r="122" spans="1:5" ht="22.5" customHeight="1" x14ac:dyDescent="0.2">
      <c r="A122" s="3">
        <v>46182.456801689812</v>
      </c>
      <c r="B122" s="20" t="s">
        <v>65</v>
      </c>
      <c r="C122" s="20" t="s">
        <v>66</v>
      </c>
      <c r="D122" s="24">
        <v>46182</v>
      </c>
      <c r="E122" s="25" t="s">
        <v>350</v>
      </c>
    </row>
    <row r="123" spans="1:5" ht="22.5" customHeight="1" x14ac:dyDescent="0.2">
      <c r="A123" s="3">
        <v>46182.45681635417</v>
      </c>
      <c r="B123" s="20" t="s">
        <v>40</v>
      </c>
      <c r="C123" s="20" t="s">
        <v>10</v>
      </c>
      <c r="D123" s="24">
        <v>46182</v>
      </c>
      <c r="E123" s="25" t="s">
        <v>343</v>
      </c>
    </row>
    <row r="124" spans="1:5" ht="22.5" customHeight="1" x14ac:dyDescent="0.2">
      <c r="A124" s="3">
        <v>46182.456829282411</v>
      </c>
      <c r="B124" s="20" t="s">
        <v>56</v>
      </c>
      <c r="C124" s="20" t="s">
        <v>57</v>
      </c>
      <c r="D124" s="24">
        <v>46182</v>
      </c>
      <c r="E124" s="25" t="s">
        <v>324</v>
      </c>
    </row>
    <row r="125" spans="1:5" ht="22.5" customHeight="1" x14ac:dyDescent="0.2">
      <c r="A125" s="3">
        <v>46182.456847083333</v>
      </c>
      <c r="B125" s="20" t="s">
        <v>119</v>
      </c>
      <c r="C125" s="20" t="s">
        <v>72</v>
      </c>
      <c r="D125" s="24">
        <v>46182</v>
      </c>
      <c r="E125" s="25" t="s">
        <v>352</v>
      </c>
    </row>
    <row r="126" spans="1:5" ht="22.5" customHeight="1" x14ac:dyDescent="0.2">
      <c r="A126" s="3">
        <v>46182.456875138887</v>
      </c>
      <c r="B126" s="20" t="s">
        <v>121</v>
      </c>
      <c r="C126" s="20" t="s">
        <v>10</v>
      </c>
      <c r="D126" s="24">
        <v>46182</v>
      </c>
      <c r="E126" s="25" t="s">
        <v>155</v>
      </c>
    </row>
    <row r="127" spans="1:5" ht="22.5" customHeight="1" x14ac:dyDescent="0.2">
      <c r="A127" s="3">
        <v>46182.456901724538</v>
      </c>
      <c r="B127" s="20" t="s">
        <v>36</v>
      </c>
      <c r="C127" s="20" t="s">
        <v>10</v>
      </c>
      <c r="D127" s="24">
        <v>46182</v>
      </c>
      <c r="E127" s="25" t="s">
        <v>36</v>
      </c>
    </row>
    <row r="128" spans="1:5" ht="22.5" customHeight="1" x14ac:dyDescent="0.2">
      <c r="A128" s="3">
        <v>46182.456909409724</v>
      </c>
      <c r="B128" s="20" t="s">
        <v>58</v>
      </c>
      <c r="C128" s="20" t="s">
        <v>16</v>
      </c>
      <c r="D128" s="24">
        <v>46182</v>
      </c>
      <c r="E128" s="25" t="s">
        <v>327</v>
      </c>
    </row>
    <row r="129" spans="1:5" ht="22.5" customHeight="1" x14ac:dyDescent="0.2">
      <c r="A129" s="3">
        <v>46182.45694650463</v>
      </c>
      <c r="B129" s="20" t="s">
        <v>111</v>
      </c>
      <c r="C129" s="20" t="s">
        <v>23</v>
      </c>
      <c r="D129" s="24">
        <v>46182</v>
      </c>
      <c r="E129" s="25" t="s">
        <v>351</v>
      </c>
    </row>
    <row r="130" spans="1:5" ht="22.5" customHeight="1" x14ac:dyDescent="0.2">
      <c r="A130" s="3">
        <v>46182.456963449076</v>
      </c>
      <c r="B130" s="20" t="s">
        <v>39</v>
      </c>
      <c r="C130" s="20" t="s">
        <v>84</v>
      </c>
      <c r="D130" s="24">
        <v>46182</v>
      </c>
      <c r="E130" s="25" t="s">
        <v>342</v>
      </c>
    </row>
    <row r="131" spans="1:5" ht="22.5" customHeight="1" x14ac:dyDescent="0.2">
      <c r="A131" s="3">
        <v>46182.456989398153</v>
      </c>
      <c r="B131" s="20" t="s">
        <v>73</v>
      </c>
      <c r="C131" s="20" t="s">
        <v>10</v>
      </c>
      <c r="D131" s="24">
        <v>46182</v>
      </c>
      <c r="E131" s="25" t="s">
        <v>335</v>
      </c>
    </row>
    <row r="132" spans="1:5" ht="22.5" customHeight="1" x14ac:dyDescent="0.2">
      <c r="A132" s="3">
        <v>46182.457002650466</v>
      </c>
      <c r="B132" s="20" t="s">
        <v>125</v>
      </c>
      <c r="C132" s="20" t="s">
        <v>31</v>
      </c>
      <c r="D132" s="24">
        <v>46182</v>
      </c>
      <c r="E132" s="25" t="s">
        <v>125</v>
      </c>
    </row>
    <row r="133" spans="1:5" ht="22.5" customHeight="1" x14ac:dyDescent="0.2">
      <c r="A133" s="3">
        <v>46182.457045925927</v>
      </c>
      <c r="B133" s="20" t="s">
        <v>126</v>
      </c>
      <c r="C133" s="20" t="s">
        <v>20</v>
      </c>
      <c r="D133" s="24">
        <v>46182</v>
      </c>
      <c r="E133" s="25" t="s">
        <v>385</v>
      </c>
    </row>
    <row r="134" spans="1:5" ht="22.5" customHeight="1" x14ac:dyDescent="0.2">
      <c r="A134" s="3">
        <v>46182.457058657412</v>
      </c>
      <c r="B134" s="20" t="s">
        <v>98</v>
      </c>
      <c r="C134" s="20" t="s">
        <v>127</v>
      </c>
      <c r="D134" s="24">
        <v>46182</v>
      </c>
      <c r="E134" s="25" t="s">
        <v>330</v>
      </c>
    </row>
    <row r="135" spans="1:5" ht="22.5" customHeight="1" x14ac:dyDescent="0.2">
      <c r="A135" s="3">
        <v>46182.457121550928</v>
      </c>
      <c r="B135" s="20" t="s">
        <v>9</v>
      </c>
      <c r="C135" s="20" t="s">
        <v>10</v>
      </c>
      <c r="D135" s="24">
        <v>46182</v>
      </c>
      <c r="E135" s="25" t="s">
        <v>325</v>
      </c>
    </row>
    <row r="136" spans="1:5" ht="22.5" customHeight="1" x14ac:dyDescent="0.2">
      <c r="A136" s="3">
        <v>46182.457124247681</v>
      </c>
      <c r="B136" s="20" t="s">
        <v>54</v>
      </c>
      <c r="C136" s="20" t="s">
        <v>10</v>
      </c>
      <c r="D136" s="24">
        <v>46182</v>
      </c>
      <c r="E136" s="25" t="s">
        <v>348</v>
      </c>
    </row>
    <row r="137" spans="1:5" ht="22.5" customHeight="1" x14ac:dyDescent="0.2">
      <c r="A137" s="3">
        <v>46182.457230277781</v>
      </c>
      <c r="B137" s="20" t="s">
        <v>67</v>
      </c>
      <c r="C137" s="20" t="s">
        <v>128</v>
      </c>
      <c r="D137" s="24">
        <v>46182</v>
      </c>
      <c r="E137" s="25" t="s">
        <v>326</v>
      </c>
    </row>
    <row r="138" spans="1:5" ht="22.5" customHeight="1" x14ac:dyDescent="0.2">
      <c r="A138" s="3">
        <v>46182.457228703701</v>
      </c>
      <c r="B138" s="20" t="s">
        <v>62</v>
      </c>
      <c r="C138" s="20" t="s">
        <v>10</v>
      </c>
      <c r="D138" s="24">
        <v>46182</v>
      </c>
      <c r="E138" s="25" t="s">
        <v>334</v>
      </c>
    </row>
    <row r="139" spans="1:5" ht="22.5" customHeight="1" x14ac:dyDescent="0.2">
      <c r="A139" s="3">
        <v>46182.457361157409</v>
      </c>
      <c r="B139" s="20" t="s">
        <v>44</v>
      </c>
      <c r="C139" s="20" t="s">
        <v>129</v>
      </c>
      <c r="D139" s="24">
        <v>46182</v>
      </c>
      <c r="E139" s="25" t="s">
        <v>44</v>
      </c>
    </row>
    <row r="140" spans="1:5" ht="22.5" customHeight="1" x14ac:dyDescent="0.2">
      <c r="A140" s="3">
        <v>46182.457383715278</v>
      </c>
      <c r="B140" s="20" t="s">
        <v>130</v>
      </c>
      <c r="C140" s="20" t="s">
        <v>23</v>
      </c>
      <c r="D140" s="24">
        <v>46182</v>
      </c>
      <c r="E140" s="25" t="s">
        <v>357</v>
      </c>
    </row>
    <row r="141" spans="1:5" ht="22.5" customHeight="1" x14ac:dyDescent="0.2">
      <c r="A141" s="3">
        <v>46182.457464097221</v>
      </c>
      <c r="B141" s="20" t="s">
        <v>88</v>
      </c>
      <c r="C141" s="20" t="s">
        <v>2</v>
      </c>
      <c r="D141" s="24">
        <v>46182</v>
      </c>
      <c r="E141" s="25" t="s">
        <v>321</v>
      </c>
    </row>
    <row r="142" spans="1:5" ht="22.5" customHeight="1" x14ac:dyDescent="0.2">
      <c r="A142" s="3">
        <v>46182.457528587962</v>
      </c>
      <c r="B142" s="20" t="s">
        <v>90</v>
      </c>
      <c r="C142" s="20" t="s">
        <v>131</v>
      </c>
      <c r="D142" s="24">
        <v>46182</v>
      </c>
      <c r="E142" s="25" t="s">
        <v>354</v>
      </c>
    </row>
    <row r="143" spans="1:5" ht="22.5" customHeight="1" x14ac:dyDescent="0.2">
      <c r="A143" s="3">
        <v>46182.458818587962</v>
      </c>
      <c r="B143" s="20" t="s">
        <v>132</v>
      </c>
      <c r="C143" s="20" t="s">
        <v>133</v>
      </c>
      <c r="D143" s="24">
        <v>46182</v>
      </c>
      <c r="E143" s="25" t="s">
        <v>358</v>
      </c>
    </row>
    <row r="144" spans="1:5" ht="22.5" customHeight="1" x14ac:dyDescent="0.2">
      <c r="A144" s="3">
        <v>46182.4588262037</v>
      </c>
      <c r="B144" s="20" t="s">
        <v>64</v>
      </c>
      <c r="C144" s="20" t="s">
        <v>10</v>
      </c>
      <c r="D144" s="24">
        <v>46182</v>
      </c>
      <c r="E144" s="25" t="s">
        <v>349</v>
      </c>
    </row>
    <row r="145" spans="1:5" ht="22.5" customHeight="1" x14ac:dyDescent="0.2">
      <c r="A145" s="3">
        <v>46182.458929930552</v>
      </c>
      <c r="B145" s="20" t="s">
        <v>46</v>
      </c>
      <c r="C145" s="20" t="s">
        <v>134</v>
      </c>
      <c r="D145" s="24">
        <v>46182</v>
      </c>
      <c r="E145" s="25" t="s">
        <v>345</v>
      </c>
    </row>
    <row r="146" spans="1:5" ht="22.5" customHeight="1" x14ac:dyDescent="0.2">
      <c r="A146" s="3">
        <v>46182.459189398149</v>
      </c>
      <c r="B146" s="20" t="s">
        <v>64</v>
      </c>
      <c r="C146" s="20" t="s">
        <v>10</v>
      </c>
      <c r="D146" s="24">
        <v>46182</v>
      </c>
      <c r="E146" s="25" t="s">
        <v>349</v>
      </c>
    </row>
    <row r="147" spans="1:5" ht="22.5" customHeight="1" x14ac:dyDescent="0.2">
      <c r="A147" s="3">
        <v>46182.459613900464</v>
      </c>
      <c r="B147" s="20" t="s">
        <v>21</v>
      </c>
      <c r="C147" s="20" t="s">
        <v>4</v>
      </c>
      <c r="D147" s="24">
        <v>46182</v>
      </c>
      <c r="E147" s="25" t="s">
        <v>331</v>
      </c>
    </row>
    <row r="148" spans="1:5" ht="22.5" customHeight="1" x14ac:dyDescent="0.2">
      <c r="A148" s="3">
        <v>46182.460089143518</v>
      </c>
      <c r="B148" s="20" t="s">
        <v>18</v>
      </c>
      <c r="C148" s="20" t="s">
        <v>96</v>
      </c>
      <c r="D148" s="24">
        <v>46182</v>
      </c>
      <c r="E148" s="25" t="s">
        <v>329</v>
      </c>
    </row>
    <row r="149" spans="1:5" ht="22.5" customHeight="1" x14ac:dyDescent="0.2">
      <c r="A149" s="3">
        <v>46182.461770173613</v>
      </c>
      <c r="B149" s="20" t="s">
        <v>18</v>
      </c>
      <c r="C149" s="20" t="s">
        <v>96</v>
      </c>
      <c r="D149" s="24">
        <v>46182</v>
      </c>
      <c r="E149" s="25" t="s">
        <v>329</v>
      </c>
    </row>
    <row r="150" spans="1:5" ht="22.5" customHeight="1" x14ac:dyDescent="0.2">
      <c r="A150" s="3">
        <v>46182.471965902776</v>
      </c>
      <c r="B150" s="20" t="s">
        <v>135</v>
      </c>
      <c r="C150" s="20" t="s">
        <v>136</v>
      </c>
      <c r="D150" s="24">
        <v>46182</v>
      </c>
      <c r="E150" s="25" t="s">
        <v>322</v>
      </c>
    </row>
    <row r="151" spans="1:5" ht="22.5" customHeight="1" x14ac:dyDescent="0.2">
      <c r="A151" s="3">
        <v>46182.475192997685</v>
      </c>
      <c r="B151" s="20" t="s">
        <v>137</v>
      </c>
      <c r="C151" s="20" t="s">
        <v>138</v>
      </c>
      <c r="D151" s="24">
        <v>46182</v>
      </c>
      <c r="E151" s="25" t="s">
        <v>328</v>
      </c>
    </row>
    <row r="152" spans="1:5" ht="22.5" customHeight="1" x14ac:dyDescent="0.2">
      <c r="A152" s="3">
        <v>46182.479894872682</v>
      </c>
      <c r="B152" s="20" t="s">
        <v>78</v>
      </c>
      <c r="C152" s="20" t="s">
        <v>139</v>
      </c>
      <c r="D152" s="24">
        <v>46182</v>
      </c>
      <c r="E152" s="25" t="s">
        <v>338</v>
      </c>
    </row>
    <row r="153" spans="1:5" ht="22.5" customHeight="1" x14ac:dyDescent="0.2">
      <c r="A153" s="3">
        <v>46182.481127280094</v>
      </c>
      <c r="B153" s="20" t="s">
        <v>24</v>
      </c>
      <c r="C153" s="20" t="s">
        <v>6</v>
      </c>
      <c r="D153" s="24">
        <v>46182</v>
      </c>
      <c r="E153" s="25" t="s">
        <v>333</v>
      </c>
    </row>
    <row r="154" spans="1:5" ht="22.5" customHeight="1" x14ac:dyDescent="0.2">
      <c r="A154" s="3">
        <v>46182.490389212966</v>
      </c>
      <c r="B154" s="20" t="s">
        <v>140</v>
      </c>
      <c r="C154" s="20" t="s">
        <v>10</v>
      </c>
      <c r="D154" s="24">
        <v>46182</v>
      </c>
      <c r="E154" s="25" t="s">
        <v>337</v>
      </c>
    </row>
    <row r="155" spans="1:5" ht="22.5" customHeight="1" x14ac:dyDescent="0.2">
      <c r="A155" s="3">
        <v>46182.49130898148</v>
      </c>
      <c r="B155" s="20" t="s">
        <v>49</v>
      </c>
      <c r="C155" s="20" t="s">
        <v>50</v>
      </c>
      <c r="D155" s="24">
        <v>46182</v>
      </c>
      <c r="E155" s="25" t="s">
        <v>346</v>
      </c>
    </row>
    <row r="156" spans="1:5" ht="22.5" customHeight="1" x14ac:dyDescent="0.2">
      <c r="A156" s="3">
        <v>46182.493075335646</v>
      </c>
      <c r="B156" s="20" t="s">
        <v>95</v>
      </c>
      <c r="C156" s="20" t="s">
        <v>141</v>
      </c>
      <c r="D156" s="24">
        <v>46182</v>
      </c>
      <c r="E156" s="25" t="s">
        <v>355</v>
      </c>
    </row>
    <row r="157" spans="1:5" ht="22.5" customHeight="1" x14ac:dyDescent="0.2">
      <c r="A157" s="3">
        <v>46182.498404467595</v>
      </c>
      <c r="B157" s="20" t="s">
        <v>142</v>
      </c>
      <c r="C157" s="20" t="s">
        <v>143</v>
      </c>
      <c r="D157" s="24">
        <v>46182</v>
      </c>
      <c r="E157" s="25" t="s">
        <v>142</v>
      </c>
    </row>
    <row r="158" spans="1:5" ht="22.5" customHeight="1" x14ac:dyDescent="0.2">
      <c r="A158" s="3">
        <v>46182.524663738426</v>
      </c>
      <c r="B158" s="20" t="s">
        <v>35</v>
      </c>
      <c r="C158" s="20" t="s">
        <v>144</v>
      </c>
      <c r="D158" s="24">
        <v>46182</v>
      </c>
      <c r="E158" s="25" t="s">
        <v>340</v>
      </c>
    </row>
    <row r="159" spans="1:5" ht="22.5" customHeight="1" x14ac:dyDescent="0.2">
      <c r="A159" s="3">
        <v>46182.591493854168</v>
      </c>
      <c r="B159" s="20" t="s">
        <v>145</v>
      </c>
      <c r="C159" s="20" t="s">
        <v>138</v>
      </c>
      <c r="D159" s="24">
        <v>46182</v>
      </c>
      <c r="E159" s="25" t="s">
        <v>328</v>
      </c>
    </row>
    <row r="160" spans="1:5" ht="22.5" customHeight="1" x14ac:dyDescent="0.2">
      <c r="A160" s="3">
        <v>46182.618075300925</v>
      </c>
      <c r="B160" s="20" t="s">
        <v>102</v>
      </c>
      <c r="C160" s="20" t="s">
        <v>146</v>
      </c>
      <c r="D160" s="24">
        <v>46182</v>
      </c>
      <c r="E160" s="25" t="s">
        <v>356</v>
      </c>
    </row>
    <row r="161" spans="1:5" ht="22.5" customHeight="1" x14ac:dyDescent="0.2">
      <c r="A161" s="3">
        <v>46189.441639490746</v>
      </c>
      <c r="B161" s="20" t="s">
        <v>56</v>
      </c>
      <c r="C161" s="20" t="s">
        <v>10</v>
      </c>
      <c r="D161" s="24">
        <v>46189</v>
      </c>
      <c r="E161" s="25" t="s">
        <v>324</v>
      </c>
    </row>
    <row r="162" spans="1:5" ht="22.5" customHeight="1" x14ac:dyDescent="0.2">
      <c r="A162" s="3">
        <v>46189.441775694446</v>
      </c>
      <c r="B162" s="20" t="s">
        <v>147</v>
      </c>
      <c r="C162" s="20" t="s">
        <v>60</v>
      </c>
      <c r="D162" s="24">
        <v>46189</v>
      </c>
      <c r="E162" s="25" t="s">
        <v>323</v>
      </c>
    </row>
    <row r="163" spans="1:5" ht="22.5" customHeight="1" x14ac:dyDescent="0.2">
      <c r="A163" s="3">
        <v>46189.441899479163</v>
      </c>
      <c r="B163" s="20" t="s">
        <v>39</v>
      </c>
      <c r="C163" s="20" t="s">
        <v>84</v>
      </c>
      <c r="D163" s="24">
        <v>46189</v>
      </c>
      <c r="E163" s="25" t="s">
        <v>342</v>
      </c>
    </row>
    <row r="164" spans="1:5" ht="22.5" customHeight="1" x14ac:dyDescent="0.2">
      <c r="A164" s="3">
        <v>46189.441965543985</v>
      </c>
      <c r="B164" s="20" t="s">
        <v>126</v>
      </c>
      <c r="C164" s="20" t="s">
        <v>20</v>
      </c>
      <c r="D164" s="24">
        <v>46189</v>
      </c>
      <c r="E164" s="25" t="s">
        <v>385</v>
      </c>
    </row>
    <row r="165" spans="1:5" ht="22.5" customHeight="1" x14ac:dyDescent="0.2">
      <c r="A165" s="3">
        <v>46189.441999780094</v>
      </c>
      <c r="B165" s="20" t="s">
        <v>5</v>
      </c>
      <c r="C165" s="20" t="s">
        <v>148</v>
      </c>
      <c r="D165" s="24">
        <v>46189</v>
      </c>
      <c r="E165" s="25" t="s">
        <v>323</v>
      </c>
    </row>
    <row r="166" spans="1:5" ht="22.5" customHeight="1" x14ac:dyDescent="0.2">
      <c r="A166" s="3">
        <v>46189.442023958334</v>
      </c>
      <c r="B166" s="20" t="s">
        <v>149</v>
      </c>
      <c r="C166" s="20" t="s">
        <v>150</v>
      </c>
      <c r="D166" s="24">
        <v>46189</v>
      </c>
      <c r="E166" s="25" t="s">
        <v>356</v>
      </c>
    </row>
    <row r="167" spans="1:5" ht="22.5" customHeight="1" x14ac:dyDescent="0.2">
      <c r="A167" s="3">
        <v>46189.442208692126</v>
      </c>
      <c r="B167" s="20" t="s">
        <v>3</v>
      </c>
      <c r="C167" s="20" t="s">
        <v>151</v>
      </c>
      <c r="D167" s="24">
        <v>46189</v>
      </c>
      <c r="E167" s="25" t="s">
        <v>322</v>
      </c>
    </row>
    <row r="168" spans="1:5" ht="22.5" customHeight="1" x14ac:dyDescent="0.2">
      <c r="A168" s="3">
        <v>46189.442253831017</v>
      </c>
      <c r="B168" s="20" t="s">
        <v>64</v>
      </c>
      <c r="C168" s="20" t="s">
        <v>10</v>
      </c>
      <c r="D168" s="24">
        <v>46189</v>
      </c>
      <c r="E168" s="25" t="s">
        <v>349</v>
      </c>
    </row>
    <row r="169" spans="1:5" ht="22.5" customHeight="1" x14ac:dyDescent="0.2">
      <c r="A169" s="3">
        <v>46189.442255706017</v>
      </c>
      <c r="B169" s="20" t="s">
        <v>17</v>
      </c>
      <c r="C169" s="20" t="s">
        <v>104</v>
      </c>
      <c r="D169" s="24">
        <v>46189</v>
      </c>
      <c r="E169" s="25" t="s">
        <v>328</v>
      </c>
    </row>
    <row r="170" spans="1:5" ht="22.5" customHeight="1" x14ac:dyDescent="0.2">
      <c r="A170" s="3">
        <v>46189.442389097225</v>
      </c>
      <c r="B170" s="20" t="s">
        <v>152</v>
      </c>
      <c r="C170" s="20" t="s">
        <v>10</v>
      </c>
      <c r="D170" s="24">
        <v>46189</v>
      </c>
      <c r="E170" s="25" t="s">
        <v>335</v>
      </c>
    </row>
    <row r="171" spans="1:5" ht="22.5" customHeight="1" x14ac:dyDescent="0.2">
      <c r="A171" s="3">
        <v>46189.442489236113</v>
      </c>
      <c r="B171" s="20" t="s">
        <v>76</v>
      </c>
      <c r="C171" s="20" t="s">
        <v>10</v>
      </c>
      <c r="D171" s="24">
        <v>46189</v>
      </c>
      <c r="E171" s="25" t="s">
        <v>125</v>
      </c>
    </row>
    <row r="172" spans="1:5" ht="22.5" customHeight="1" x14ac:dyDescent="0.2">
      <c r="A172" s="3">
        <v>46189.442503206017</v>
      </c>
      <c r="B172" s="20" t="s">
        <v>65</v>
      </c>
      <c r="C172" s="20" t="s">
        <v>66</v>
      </c>
      <c r="D172" s="24">
        <v>46189</v>
      </c>
      <c r="E172" s="25" t="s">
        <v>350</v>
      </c>
    </row>
    <row r="173" spans="1:5" ht="22.5" customHeight="1" x14ac:dyDescent="0.2">
      <c r="A173" s="3">
        <v>46189.442642928239</v>
      </c>
      <c r="B173" s="20" t="s">
        <v>67</v>
      </c>
      <c r="C173" s="20" t="s">
        <v>128</v>
      </c>
      <c r="D173" s="24">
        <v>46189</v>
      </c>
      <c r="E173" s="25" t="s">
        <v>326</v>
      </c>
    </row>
    <row r="174" spans="1:5" ht="22.5" customHeight="1" x14ac:dyDescent="0.2">
      <c r="A174" s="3">
        <v>46189.44264695602</v>
      </c>
      <c r="B174" s="20" t="s">
        <v>17</v>
      </c>
      <c r="C174" s="20" t="s">
        <v>104</v>
      </c>
      <c r="D174" s="24">
        <v>46189</v>
      </c>
      <c r="E174" s="25" t="s">
        <v>328</v>
      </c>
    </row>
    <row r="175" spans="1:5" ht="22.5" customHeight="1" x14ac:dyDescent="0.2">
      <c r="A175" s="3">
        <v>46189.442995937497</v>
      </c>
      <c r="B175" s="20" t="s">
        <v>9</v>
      </c>
      <c r="C175" s="20" t="s">
        <v>153</v>
      </c>
      <c r="D175" s="24">
        <v>46189</v>
      </c>
      <c r="E175" s="25" t="s">
        <v>325</v>
      </c>
    </row>
    <row r="176" spans="1:5" ht="22.5" customHeight="1" x14ac:dyDescent="0.2">
      <c r="A176" s="3">
        <v>46189.443038217592</v>
      </c>
      <c r="B176" s="20" t="s">
        <v>46</v>
      </c>
      <c r="C176" s="20" t="s">
        <v>134</v>
      </c>
      <c r="D176" s="24">
        <v>46189</v>
      </c>
      <c r="E176" s="25" t="s">
        <v>345</v>
      </c>
    </row>
    <row r="177" spans="1:5" ht="22.5" customHeight="1" x14ac:dyDescent="0.2">
      <c r="A177" s="3">
        <v>46189.443172291663</v>
      </c>
      <c r="B177" s="20" t="s">
        <v>44</v>
      </c>
      <c r="C177" s="20" t="s">
        <v>129</v>
      </c>
      <c r="D177" s="24">
        <v>46189</v>
      </c>
      <c r="E177" s="25" t="s">
        <v>44</v>
      </c>
    </row>
    <row r="178" spans="1:5" ht="22.5" customHeight="1" x14ac:dyDescent="0.2">
      <c r="A178" s="3">
        <v>46189.443198749999</v>
      </c>
      <c r="B178" s="20" t="s">
        <v>19</v>
      </c>
      <c r="C178" s="20" t="s">
        <v>154</v>
      </c>
      <c r="D178" s="24">
        <v>46189</v>
      </c>
      <c r="E178" s="25" t="s">
        <v>330</v>
      </c>
    </row>
    <row r="179" spans="1:5" ht="22.5" customHeight="1" x14ac:dyDescent="0.2">
      <c r="A179" s="3">
        <v>46189.443208472221</v>
      </c>
      <c r="B179" s="20" t="s">
        <v>142</v>
      </c>
      <c r="C179" s="20" t="s">
        <v>53</v>
      </c>
      <c r="D179" s="24">
        <v>46189</v>
      </c>
      <c r="E179" s="25" t="s">
        <v>142</v>
      </c>
    </row>
    <row r="180" spans="1:5" ht="22.5" customHeight="1" x14ac:dyDescent="0.2">
      <c r="A180" s="3">
        <v>46189.443226284726</v>
      </c>
      <c r="B180" s="20" t="s">
        <v>21</v>
      </c>
      <c r="C180" s="20" t="s">
        <v>4</v>
      </c>
      <c r="D180" s="24">
        <v>46189</v>
      </c>
      <c r="E180" s="25" t="s">
        <v>331</v>
      </c>
    </row>
    <row r="181" spans="1:5" ht="22.5" customHeight="1" x14ac:dyDescent="0.2">
      <c r="A181" s="3">
        <v>46189.443435208334</v>
      </c>
      <c r="B181" s="20" t="s">
        <v>36</v>
      </c>
      <c r="C181" s="20" t="s">
        <v>10</v>
      </c>
      <c r="D181" s="24">
        <v>46189</v>
      </c>
      <c r="E181" s="25" t="s">
        <v>36</v>
      </c>
    </row>
    <row r="182" spans="1:5" ht="22.5" customHeight="1" x14ac:dyDescent="0.2">
      <c r="A182" s="3">
        <v>46189.444068530094</v>
      </c>
      <c r="B182" s="20" t="s">
        <v>155</v>
      </c>
      <c r="C182" s="20" t="s">
        <v>10</v>
      </c>
      <c r="D182" s="24">
        <v>46189</v>
      </c>
      <c r="E182" s="25" t="s">
        <v>155</v>
      </c>
    </row>
    <row r="183" spans="1:5" ht="22.5" customHeight="1" x14ac:dyDescent="0.2">
      <c r="A183" s="3">
        <v>46189.445199409718</v>
      </c>
      <c r="B183" s="20" t="s">
        <v>58</v>
      </c>
      <c r="C183" s="20" t="s">
        <v>156</v>
      </c>
      <c r="D183" s="24">
        <v>46189</v>
      </c>
      <c r="E183" s="25" t="s">
        <v>327</v>
      </c>
    </row>
    <row r="184" spans="1:5" ht="22.5" customHeight="1" x14ac:dyDescent="0.2">
      <c r="A184" s="3">
        <v>46189.447773344902</v>
      </c>
      <c r="B184" s="20" t="s">
        <v>22</v>
      </c>
      <c r="C184" s="20" t="s">
        <v>23</v>
      </c>
      <c r="D184" s="24">
        <v>46189</v>
      </c>
      <c r="E184" s="25" t="s">
        <v>332</v>
      </c>
    </row>
    <row r="185" spans="1:5" ht="22.5" customHeight="1" x14ac:dyDescent="0.2">
      <c r="A185" s="3">
        <v>46189.447980578705</v>
      </c>
      <c r="B185" s="20" t="s">
        <v>22</v>
      </c>
      <c r="C185" s="20" t="s">
        <v>23</v>
      </c>
      <c r="D185" s="24">
        <v>46189</v>
      </c>
      <c r="E185" s="25" t="s">
        <v>332</v>
      </c>
    </row>
    <row r="186" spans="1:5" ht="22.5" customHeight="1" x14ac:dyDescent="0.2">
      <c r="A186" s="3">
        <v>46189.45041125</v>
      </c>
      <c r="B186" s="20" t="s">
        <v>95</v>
      </c>
      <c r="C186" s="20" t="s">
        <v>141</v>
      </c>
      <c r="D186" s="24">
        <v>46189</v>
      </c>
      <c r="E186" s="25" t="s">
        <v>355</v>
      </c>
    </row>
    <row r="187" spans="1:5" ht="22.5" customHeight="1" x14ac:dyDescent="0.2">
      <c r="A187" s="3">
        <v>46189.452184861111</v>
      </c>
      <c r="B187" s="20" t="s">
        <v>106</v>
      </c>
      <c r="C187" s="20" t="s">
        <v>10</v>
      </c>
      <c r="D187" s="24">
        <v>46189</v>
      </c>
      <c r="E187" s="25" t="s">
        <v>339</v>
      </c>
    </row>
    <row r="188" spans="1:5" ht="22.5" customHeight="1" x14ac:dyDescent="0.2">
      <c r="A188" s="3">
        <v>46189.453360937499</v>
      </c>
      <c r="B188" s="20" t="s">
        <v>157</v>
      </c>
      <c r="C188" s="20" t="s">
        <v>158</v>
      </c>
      <c r="D188" s="24">
        <v>46189</v>
      </c>
      <c r="E188" s="25" t="s">
        <v>338</v>
      </c>
    </row>
    <row r="189" spans="1:5" ht="22.5" customHeight="1" x14ac:dyDescent="0.2">
      <c r="A189" s="3">
        <v>46189.460182256946</v>
      </c>
      <c r="B189" s="20" t="s">
        <v>35</v>
      </c>
      <c r="C189" s="20" t="s">
        <v>4</v>
      </c>
      <c r="D189" s="24">
        <v>46189</v>
      </c>
      <c r="E189" s="25" t="s">
        <v>340</v>
      </c>
    </row>
    <row r="190" spans="1:5" ht="22.5" customHeight="1" x14ac:dyDescent="0.2">
      <c r="A190" s="3">
        <v>46189.460552060184</v>
      </c>
      <c r="B190" s="20" t="s">
        <v>24</v>
      </c>
      <c r="C190" s="20" t="s">
        <v>6</v>
      </c>
      <c r="D190" s="24">
        <v>46189</v>
      </c>
      <c r="E190" s="25" t="s">
        <v>333</v>
      </c>
    </row>
    <row r="191" spans="1:5" ht="22.5" customHeight="1" x14ac:dyDescent="0.2">
      <c r="A191" s="3">
        <v>46189.466523634255</v>
      </c>
      <c r="B191" s="20" t="s">
        <v>119</v>
      </c>
      <c r="C191" s="20" t="s">
        <v>72</v>
      </c>
      <c r="D191" s="24">
        <v>46189</v>
      </c>
      <c r="E191" s="25" t="s">
        <v>352</v>
      </c>
    </row>
    <row r="192" spans="1:5" ht="22.5" customHeight="1" x14ac:dyDescent="0.2">
      <c r="A192" s="3">
        <v>46189.468496203699</v>
      </c>
      <c r="B192" s="20" t="s">
        <v>159</v>
      </c>
      <c r="C192" s="20" t="s">
        <v>131</v>
      </c>
      <c r="D192" s="24">
        <v>46189</v>
      </c>
      <c r="E192" s="25" t="s">
        <v>354</v>
      </c>
    </row>
    <row r="193" spans="1:5" ht="22.5" customHeight="1" x14ac:dyDescent="0.2">
      <c r="A193" s="3">
        <v>46189.469955567125</v>
      </c>
      <c r="B193" s="20" t="s">
        <v>160</v>
      </c>
      <c r="C193" s="20" t="s">
        <v>112</v>
      </c>
      <c r="D193" s="24">
        <v>46189</v>
      </c>
      <c r="E193" s="25" t="s">
        <v>357</v>
      </c>
    </row>
    <row r="194" spans="1:5" ht="22.5" customHeight="1" x14ac:dyDescent="0.2">
      <c r="A194" s="3">
        <v>46189.480982766203</v>
      </c>
      <c r="B194" s="20" t="s">
        <v>18</v>
      </c>
      <c r="C194" s="20" t="s">
        <v>96</v>
      </c>
      <c r="D194" s="24">
        <v>46189</v>
      </c>
      <c r="E194" s="25" t="s">
        <v>329</v>
      </c>
    </row>
    <row r="195" spans="1:5" ht="22.5" customHeight="1" x14ac:dyDescent="0.2">
      <c r="A195" s="3">
        <v>46189.483096898148</v>
      </c>
      <c r="B195" s="20" t="s">
        <v>161</v>
      </c>
      <c r="C195" s="20" t="s">
        <v>162</v>
      </c>
      <c r="D195" s="24">
        <v>46189</v>
      </c>
      <c r="E195" s="25" t="s">
        <v>334</v>
      </c>
    </row>
    <row r="196" spans="1:5" ht="22.5" customHeight="1" x14ac:dyDescent="0.2">
      <c r="A196" s="3">
        <v>46189.493843969904</v>
      </c>
      <c r="B196" s="20" t="s">
        <v>54</v>
      </c>
      <c r="C196" s="20" t="s">
        <v>10</v>
      </c>
      <c r="D196" s="24">
        <v>46189</v>
      </c>
      <c r="E196" s="25" t="s">
        <v>348</v>
      </c>
    </row>
    <row r="197" spans="1:5" ht="22.5" customHeight="1" x14ac:dyDescent="0.2">
      <c r="A197" s="3">
        <v>46189.493861423616</v>
      </c>
      <c r="B197" s="20" t="s">
        <v>114</v>
      </c>
      <c r="C197" s="20" t="s">
        <v>10</v>
      </c>
      <c r="D197" s="24">
        <v>46189</v>
      </c>
      <c r="E197" s="25" t="s">
        <v>337</v>
      </c>
    </row>
    <row r="198" spans="1:5" ht="22.5" customHeight="1" x14ac:dyDescent="0.2">
      <c r="A198" s="3">
        <v>46190.424437442125</v>
      </c>
      <c r="B198" s="20" t="s">
        <v>85</v>
      </c>
      <c r="C198" s="20" t="s">
        <v>163</v>
      </c>
      <c r="D198" s="24">
        <v>46190</v>
      </c>
      <c r="E198" s="25" t="s">
        <v>353</v>
      </c>
    </row>
    <row r="199" spans="1:5" ht="22.5" customHeight="1" x14ac:dyDescent="0.2">
      <c r="A199" s="3">
        <v>46190.434068287039</v>
      </c>
      <c r="B199" s="20" t="s">
        <v>9</v>
      </c>
      <c r="C199" s="20" t="s">
        <v>164</v>
      </c>
      <c r="D199" s="24">
        <v>46190</v>
      </c>
      <c r="E199" s="25" t="s">
        <v>325</v>
      </c>
    </row>
    <row r="200" spans="1:5" ht="22.5" customHeight="1" x14ac:dyDescent="0.2">
      <c r="A200" s="3">
        <v>46190.473825590278</v>
      </c>
      <c r="B200" s="20" t="s">
        <v>39</v>
      </c>
      <c r="C200" s="20" t="s">
        <v>84</v>
      </c>
      <c r="D200" s="24">
        <v>46190</v>
      </c>
      <c r="E200" s="25" t="s">
        <v>342</v>
      </c>
    </row>
    <row r="201" spans="1:5" ht="22.5" customHeight="1" x14ac:dyDescent="0.2">
      <c r="A201" s="3">
        <v>46190.474084375004</v>
      </c>
      <c r="B201" s="20" t="s">
        <v>98</v>
      </c>
      <c r="C201" s="20" t="s">
        <v>165</v>
      </c>
      <c r="D201" s="24">
        <v>46190</v>
      </c>
      <c r="E201" s="25" t="s">
        <v>330</v>
      </c>
    </row>
    <row r="202" spans="1:5" ht="22.5" customHeight="1" x14ac:dyDescent="0.2">
      <c r="A202" s="3">
        <v>46190.4741340162</v>
      </c>
      <c r="B202" s="20" t="s">
        <v>51</v>
      </c>
      <c r="C202" s="20" t="s">
        <v>53</v>
      </c>
      <c r="D202" s="24">
        <v>46190</v>
      </c>
      <c r="E202" s="25" t="s">
        <v>347</v>
      </c>
    </row>
    <row r="203" spans="1:5" ht="22.5" customHeight="1" x14ac:dyDescent="0.2">
      <c r="A203" s="3">
        <v>46190.474660821761</v>
      </c>
      <c r="B203" s="20" t="s">
        <v>17</v>
      </c>
      <c r="C203" s="20" t="s">
        <v>104</v>
      </c>
      <c r="D203" s="24">
        <v>46190</v>
      </c>
      <c r="E203" s="25" t="s">
        <v>328</v>
      </c>
    </row>
    <row r="204" spans="1:5" ht="22.5" customHeight="1" x14ac:dyDescent="0.2">
      <c r="A204" s="3">
        <v>46190.476217442134</v>
      </c>
      <c r="B204" s="20" t="s">
        <v>100</v>
      </c>
      <c r="C204" s="20" t="s">
        <v>166</v>
      </c>
      <c r="D204" s="24">
        <v>46190</v>
      </c>
      <c r="E204" s="25" t="s">
        <v>155</v>
      </c>
    </row>
    <row r="205" spans="1:5" ht="22.5" customHeight="1" x14ac:dyDescent="0.2">
      <c r="A205" s="3">
        <v>46190.476516736111</v>
      </c>
      <c r="B205" s="20" t="s">
        <v>119</v>
      </c>
      <c r="C205" s="20" t="s">
        <v>72</v>
      </c>
      <c r="D205" s="24">
        <v>46190</v>
      </c>
      <c r="E205" s="25" t="s">
        <v>352</v>
      </c>
    </row>
    <row r="206" spans="1:5" ht="22.5" customHeight="1" x14ac:dyDescent="0.2">
      <c r="A206" s="3">
        <v>46190.476910266203</v>
      </c>
      <c r="B206" s="20" t="s">
        <v>5</v>
      </c>
      <c r="C206" s="20" t="s">
        <v>60</v>
      </c>
      <c r="D206" s="24">
        <v>46190</v>
      </c>
      <c r="E206" s="25" t="s">
        <v>323</v>
      </c>
    </row>
    <row r="207" spans="1:5" ht="22.5" customHeight="1" x14ac:dyDescent="0.2">
      <c r="A207" s="3">
        <v>46190.47694630787</v>
      </c>
      <c r="B207" s="20" t="s">
        <v>167</v>
      </c>
      <c r="C207" s="20" t="s">
        <v>168</v>
      </c>
      <c r="D207" s="24">
        <v>46190</v>
      </c>
      <c r="E207" s="25" t="s">
        <v>338</v>
      </c>
    </row>
    <row r="208" spans="1:5" ht="22.5" customHeight="1" x14ac:dyDescent="0.2">
      <c r="A208" s="3">
        <v>46190.477259537038</v>
      </c>
      <c r="B208" s="20" t="s">
        <v>21</v>
      </c>
      <c r="C208" s="20" t="s">
        <v>4</v>
      </c>
      <c r="D208" s="24">
        <v>46190</v>
      </c>
      <c r="E208" s="25" t="s">
        <v>331</v>
      </c>
    </row>
    <row r="209" spans="1:5" ht="22.5" customHeight="1" x14ac:dyDescent="0.2">
      <c r="A209" s="3">
        <v>46190.477325868051</v>
      </c>
      <c r="B209" s="20" t="s">
        <v>35</v>
      </c>
      <c r="C209" s="20" t="s">
        <v>4</v>
      </c>
      <c r="D209" s="24">
        <v>46190</v>
      </c>
      <c r="E209" s="25" t="s">
        <v>340</v>
      </c>
    </row>
    <row r="210" spans="1:5" ht="22.5" customHeight="1" x14ac:dyDescent="0.2">
      <c r="A210" s="3">
        <v>46190.477639513891</v>
      </c>
      <c r="B210" s="20" t="s">
        <v>36</v>
      </c>
      <c r="C210" s="20" t="s">
        <v>10</v>
      </c>
      <c r="D210" s="24">
        <v>46190</v>
      </c>
      <c r="E210" s="25" t="s">
        <v>36</v>
      </c>
    </row>
    <row r="211" spans="1:5" ht="22.5" customHeight="1" x14ac:dyDescent="0.2">
      <c r="A211" s="3">
        <v>46190.478089259261</v>
      </c>
      <c r="B211" s="20" t="s">
        <v>169</v>
      </c>
      <c r="C211" s="20" t="s">
        <v>170</v>
      </c>
      <c r="D211" s="24">
        <v>46190</v>
      </c>
      <c r="E211" s="25" t="s">
        <v>142</v>
      </c>
    </row>
    <row r="212" spans="1:5" ht="22.5" customHeight="1" x14ac:dyDescent="0.2">
      <c r="A212" s="3">
        <v>46190.478496527779</v>
      </c>
      <c r="B212" s="20" t="s">
        <v>18</v>
      </c>
      <c r="C212" s="20" t="s">
        <v>171</v>
      </c>
      <c r="D212" s="24">
        <v>46190</v>
      </c>
      <c r="E212" s="25" t="s">
        <v>329</v>
      </c>
    </row>
    <row r="213" spans="1:5" ht="22.5" customHeight="1" x14ac:dyDescent="0.2">
      <c r="A213" s="3">
        <v>46190.478528263891</v>
      </c>
      <c r="B213" s="20" t="s">
        <v>22</v>
      </c>
      <c r="C213" s="20" t="s">
        <v>23</v>
      </c>
      <c r="D213" s="24">
        <v>46190</v>
      </c>
      <c r="E213" s="25" t="s">
        <v>332</v>
      </c>
    </row>
    <row r="214" spans="1:5" ht="22.5" customHeight="1" x14ac:dyDescent="0.2">
      <c r="A214" s="3">
        <v>46190.479302685184</v>
      </c>
      <c r="B214" s="20" t="s">
        <v>64</v>
      </c>
      <c r="C214" s="20" t="s">
        <v>10</v>
      </c>
      <c r="D214" s="24">
        <v>46190</v>
      </c>
      <c r="E214" s="25" t="s">
        <v>349</v>
      </c>
    </row>
    <row r="215" spans="1:5" ht="22.5" customHeight="1" x14ac:dyDescent="0.2">
      <c r="A215" s="3">
        <v>46190.482730567128</v>
      </c>
      <c r="B215" s="20" t="s">
        <v>111</v>
      </c>
      <c r="C215" s="20" t="s">
        <v>23</v>
      </c>
      <c r="D215" s="24">
        <v>46190</v>
      </c>
      <c r="E215" s="25" t="s">
        <v>351</v>
      </c>
    </row>
    <row r="216" spans="1:5" ht="22.5" customHeight="1" x14ac:dyDescent="0.2">
      <c r="A216" s="3">
        <v>46190.485195914356</v>
      </c>
      <c r="B216" s="20" t="s">
        <v>24</v>
      </c>
      <c r="C216" s="20" t="s">
        <v>6</v>
      </c>
      <c r="D216" s="24">
        <v>46190</v>
      </c>
      <c r="E216" s="25" t="s">
        <v>333</v>
      </c>
    </row>
    <row r="217" spans="1:5" ht="22.5" customHeight="1" x14ac:dyDescent="0.2">
      <c r="A217" s="3">
        <v>46190.48551993056</v>
      </c>
      <c r="B217" s="20" t="s">
        <v>76</v>
      </c>
      <c r="C217" s="20" t="s">
        <v>10</v>
      </c>
      <c r="D217" s="24">
        <v>46190</v>
      </c>
      <c r="E217" s="25" t="s">
        <v>125</v>
      </c>
    </row>
    <row r="218" spans="1:5" ht="22.5" customHeight="1" x14ac:dyDescent="0.2">
      <c r="A218" s="3">
        <v>46190.486100787035</v>
      </c>
      <c r="B218" s="20" t="s">
        <v>114</v>
      </c>
      <c r="C218" s="20" t="s">
        <v>10</v>
      </c>
      <c r="D218" s="24">
        <v>46190</v>
      </c>
      <c r="E218" s="25" t="s">
        <v>337</v>
      </c>
    </row>
    <row r="219" spans="1:5" ht="22.5" customHeight="1" x14ac:dyDescent="0.2">
      <c r="A219" s="3">
        <v>46190.487942951389</v>
      </c>
      <c r="B219" s="20" t="s">
        <v>65</v>
      </c>
      <c r="C219" s="20" t="s">
        <v>172</v>
      </c>
      <c r="D219" s="24">
        <v>46190</v>
      </c>
      <c r="E219" s="25" t="s">
        <v>350</v>
      </c>
    </row>
    <row r="220" spans="1:5" ht="22.5" customHeight="1" x14ac:dyDescent="0.2">
      <c r="A220" s="3">
        <v>46190.491963657405</v>
      </c>
      <c r="B220" s="20" t="s">
        <v>46</v>
      </c>
      <c r="C220" s="20" t="s">
        <v>134</v>
      </c>
      <c r="D220" s="24">
        <v>46190</v>
      </c>
      <c r="E220" s="25" t="s">
        <v>345</v>
      </c>
    </row>
    <row r="221" spans="1:5" ht="22.5" customHeight="1" x14ac:dyDescent="0.2">
      <c r="A221" s="3">
        <v>46190.492272939809</v>
      </c>
      <c r="B221" s="20" t="s">
        <v>56</v>
      </c>
      <c r="C221" s="20" t="s">
        <v>10</v>
      </c>
      <c r="D221" s="24">
        <v>46190</v>
      </c>
      <c r="E221" s="25" t="s">
        <v>324</v>
      </c>
    </row>
    <row r="222" spans="1:5" ht="22.5" customHeight="1" x14ac:dyDescent="0.2">
      <c r="A222" s="3">
        <v>46190.492275856479</v>
      </c>
      <c r="B222" s="20" t="s">
        <v>62</v>
      </c>
      <c r="C222" s="20" t="s">
        <v>173</v>
      </c>
      <c r="D222" s="24">
        <v>46190</v>
      </c>
      <c r="E222" s="25" t="s">
        <v>334</v>
      </c>
    </row>
    <row r="223" spans="1:5" ht="22.5" customHeight="1" x14ac:dyDescent="0.2">
      <c r="A223" s="3">
        <v>46190.492313310184</v>
      </c>
      <c r="B223" s="20" t="s">
        <v>54</v>
      </c>
      <c r="C223" s="20" t="s">
        <v>10</v>
      </c>
      <c r="D223" s="24">
        <v>46190</v>
      </c>
      <c r="E223" s="25" t="s">
        <v>348</v>
      </c>
    </row>
    <row r="224" spans="1:5" ht="22.5" customHeight="1" x14ac:dyDescent="0.2">
      <c r="A224" s="3">
        <v>46190.492535370373</v>
      </c>
      <c r="B224" s="20" t="s">
        <v>115</v>
      </c>
      <c r="C224" s="20" t="s">
        <v>52</v>
      </c>
      <c r="D224" s="24">
        <v>46190</v>
      </c>
      <c r="E224" s="25" t="s">
        <v>354</v>
      </c>
    </row>
    <row r="225" spans="1:5" ht="22.5" customHeight="1" x14ac:dyDescent="0.2">
      <c r="A225" s="3">
        <v>46190.492913576389</v>
      </c>
      <c r="B225" s="20" t="s">
        <v>3</v>
      </c>
      <c r="C225" s="20" t="s">
        <v>4</v>
      </c>
      <c r="D225" s="24">
        <v>46190</v>
      </c>
      <c r="E225" s="25" t="s">
        <v>322</v>
      </c>
    </row>
    <row r="226" spans="1:5" ht="22.5" customHeight="1" x14ac:dyDescent="0.2">
      <c r="A226" s="3">
        <v>46190.495482013888</v>
      </c>
      <c r="B226" s="20" t="s">
        <v>58</v>
      </c>
      <c r="C226" s="20" t="s">
        <v>16</v>
      </c>
      <c r="D226" s="24">
        <v>46190</v>
      </c>
      <c r="E226" s="25" t="s">
        <v>327</v>
      </c>
    </row>
    <row r="227" spans="1:5" ht="22.5" customHeight="1" x14ac:dyDescent="0.2">
      <c r="A227" s="3">
        <v>46190.497144652778</v>
      </c>
      <c r="B227" s="20" t="s">
        <v>38</v>
      </c>
      <c r="C227" s="20" t="s">
        <v>20</v>
      </c>
      <c r="D227" s="24">
        <v>46190</v>
      </c>
      <c r="E227" s="25" t="s">
        <v>385</v>
      </c>
    </row>
    <row r="228" spans="1:5" ht="22.5" customHeight="1" x14ac:dyDescent="0.2">
      <c r="A228" s="3">
        <v>46190.497747893518</v>
      </c>
      <c r="B228" s="20" t="s">
        <v>174</v>
      </c>
      <c r="C228" s="20" t="s">
        <v>4</v>
      </c>
      <c r="D228" s="24">
        <v>46190</v>
      </c>
      <c r="E228" s="25" t="s">
        <v>356</v>
      </c>
    </row>
    <row r="229" spans="1:5" ht="22.5" customHeight="1" x14ac:dyDescent="0.2">
      <c r="A229" s="3">
        <v>46190.515503888892</v>
      </c>
      <c r="B229" s="20" t="s">
        <v>175</v>
      </c>
      <c r="C229" s="20" t="s">
        <v>2</v>
      </c>
      <c r="D229" s="24">
        <v>46190</v>
      </c>
      <c r="E229" s="25" t="s">
        <v>321</v>
      </c>
    </row>
    <row r="230" spans="1:5" ht="22.5" customHeight="1" x14ac:dyDescent="0.2">
      <c r="A230" s="3">
        <v>46190.515610844908</v>
      </c>
      <c r="B230" s="20" t="s">
        <v>106</v>
      </c>
      <c r="C230" s="20" t="s">
        <v>10</v>
      </c>
      <c r="D230" s="24">
        <v>46190</v>
      </c>
      <c r="E230" s="25" t="s">
        <v>339</v>
      </c>
    </row>
    <row r="231" spans="1:5" ht="22.5" customHeight="1" x14ac:dyDescent="0.2">
      <c r="A231" s="3">
        <v>46190.515864756948</v>
      </c>
      <c r="B231" s="20" t="s">
        <v>73</v>
      </c>
      <c r="C231" s="20" t="s">
        <v>10</v>
      </c>
      <c r="D231" s="24">
        <v>46190</v>
      </c>
      <c r="E231" s="25" t="s">
        <v>335</v>
      </c>
    </row>
    <row r="232" spans="1:5" ht="22.5" customHeight="1" x14ac:dyDescent="0.2">
      <c r="A232" s="3">
        <v>46190.516576238428</v>
      </c>
      <c r="B232" s="20" t="s">
        <v>11</v>
      </c>
      <c r="C232" s="20" t="s">
        <v>128</v>
      </c>
      <c r="D232" s="24">
        <v>46190</v>
      </c>
      <c r="E232" s="25" t="s">
        <v>326</v>
      </c>
    </row>
    <row r="233" spans="1:5" ht="22.5" customHeight="1" x14ac:dyDescent="0.2">
      <c r="A233" s="3">
        <v>46190.539554861112</v>
      </c>
      <c r="B233" s="20" t="s">
        <v>17</v>
      </c>
      <c r="C233" s="20" t="s">
        <v>104</v>
      </c>
      <c r="D233" s="24">
        <v>46190</v>
      </c>
      <c r="E233" s="25" t="s">
        <v>328</v>
      </c>
    </row>
    <row r="234" spans="1:5" ht="22.5" customHeight="1" x14ac:dyDescent="0.2">
      <c r="A234" s="3">
        <v>46191.419782372686</v>
      </c>
      <c r="B234" s="20" t="s">
        <v>9</v>
      </c>
      <c r="C234" s="20" t="s">
        <v>176</v>
      </c>
      <c r="D234" s="24">
        <v>46191</v>
      </c>
      <c r="E234" s="25" t="s">
        <v>325</v>
      </c>
    </row>
    <row r="235" spans="1:5" ht="22.5" customHeight="1" x14ac:dyDescent="0.2">
      <c r="A235" s="3">
        <v>46191.490634525464</v>
      </c>
      <c r="B235" s="20" t="s">
        <v>121</v>
      </c>
      <c r="C235" s="20" t="s">
        <v>10</v>
      </c>
      <c r="D235" s="24">
        <v>46191</v>
      </c>
      <c r="E235" s="25" t="s">
        <v>155</v>
      </c>
    </row>
    <row r="236" spans="1:5" ht="22.5" customHeight="1" x14ac:dyDescent="0.2">
      <c r="A236" s="3">
        <v>46191.490921724537</v>
      </c>
      <c r="B236" s="20" t="s">
        <v>44</v>
      </c>
      <c r="C236" s="20" t="s">
        <v>129</v>
      </c>
      <c r="D236" s="24">
        <v>46191</v>
      </c>
      <c r="E236" s="25" t="s">
        <v>44</v>
      </c>
    </row>
    <row r="237" spans="1:5" ht="22.5" customHeight="1" x14ac:dyDescent="0.2">
      <c r="A237" s="3">
        <v>46191.490924212965</v>
      </c>
      <c r="B237" s="20" t="s">
        <v>174</v>
      </c>
      <c r="C237" s="20" t="s">
        <v>177</v>
      </c>
      <c r="D237" s="24">
        <v>46191</v>
      </c>
      <c r="E237" s="25" t="s">
        <v>356</v>
      </c>
    </row>
    <row r="238" spans="1:5" ht="22.5" customHeight="1" x14ac:dyDescent="0.2">
      <c r="A238" s="3">
        <v>46191.490975671295</v>
      </c>
      <c r="B238" s="20" t="s">
        <v>5</v>
      </c>
      <c r="C238" s="20" t="s">
        <v>60</v>
      </c>
      <c r="D238" s="24">
        <v>46191</v>
      </c>
      <c r="E238" s="25" t="s">
        <v>323</v>
      </c>
    </row>
    <row r="239" spans="1:5" ht="22.5" customHeight="1" x14ac:dyDescent="0.2">
      <c r="A239" s="3">
        <v>46191.491039143519</v>
      </c>
      <c r="B239" s="20" t="s">
        <v>73</v>
      </c>
      <c r="C239" s="20" t="s">
        <v>10</v>
      </c>
      <c r="D239" s="24">
        <v>46191</v>
      </c>
      <c r="E239" s="25" t="s">
        <v>335</v>
      </c>
    </row>
    <row r="240" spans="1:5" ht="22.5" customHeight="1" x14ac:dyDescent="0.2">
      <c r="A240" s="3">
        <v>46191.491189699074</v>
      </c>
      <c r="B240" s="20" t="s">
        <v>85</v>
      </c>
      <c r="C240" s="20" t="s">
        <v>163</v>
      </c>
      <c r="D240" s="24">
        <v>46191</v>
      </c>
      <c r="E240" s="25" t="s">
        <v>353</v>
      </c>
    </row>
    <row r="241" spans="1:5" ht="22.5" customHeight="1" x14ac:dyDescent="0.2">
      <c r="A241" s="3">
        <v>46191.49126451389</v>
      </c>
      <c r="B241" s="20" t="s">
        <v>51</v>
      </c>
      <c r="C241" s="20" t="s">
        <v>53</v>
      </c>
      <c r="D241" s="24">
        <v>46191</v>
      </c>
      <c r="E241" s="25" t="s">
        <v>347</v>
      </c>
    </row>
    <row r="242" spans="1:5" ht="22.5" customHeight="1" x14ac:dyDescent="0.2">
      <c r="A242" s="3">
        <v>46191.491375011574</v>
      </c>
      <c r="B242" s="20" t="s">
        <v>76</v>
      </c>
      <c r="C242" s="20" t="s">
        <v>10</v>
      </c>
      <c r="D242" s="24">
        <v>46191</v>
      </c>
      <c r="E242" s="25" t="s">
        <v>125</v>
      </c>
    </row>
    <row r="243" spans="1:5" ht="22.5" customHeight="1" x14ac:dyDescent="0.2">
      <c r="A243" s="3">
        <v>46191.491455358795</v>
      </c>
      <c r="B243" s="20" t="s">
        <v>35</v>
      </c>
      <c r="C243" s="20" t="s">
        <v>4</v>
      </c>
      <c r="D243" s="24">
        <v>46191</v>
      </c>
      <c r="E243" s="25" t="s">
        <v>340</v>
      </c>
    </row>
    <row r="244" spans="1:5" ht="22.5" customHeight="1" x14ac:dyDescent="0.2">
      <c r="A244" s="3">
        <v>46191.491478101852</v>
      </c>
      <c r="B244" s="20" t="s">
        <v>56</v>
      </c>
      <c r="C244" s="20" t="s">
        <v>10</v>
      </c>
      <c r="D244" s="24">
        <v>46191</v>
      </c>
      <c r="E244" s="25" t="s">
        <v>324</v>
      </c>
    </row>
    <row r="245" spans="1:5" ht="22.5" customHeight="1" x14ac:dyDescent="0.2">
      <c r="A245" s="3">
        <v>46191.491564710646</v>
      </c>
      <c r="B245" s="20" t="s">
        <v>61</v>
      </c>
      <c r="C245" s="20" t="s">
        <v>178</v>
      </c>
      <c r="D245" s="24">
        <v>46191</v>
      </c>
      <c r="E245" s="25" t="s">
        <v>322</v>
      </c>
    </row>
    <row r="246" spans="1:5" ht="22.5" customHeight="1" x14ac:dyDescent="0.2">
      <c r="A246" s="3">
        <v>46191.492968692131</v>
      </c>
      <c r="B246" s="20" t="s">
        <v>179</v>
      </c>
      <c r="C246" s="20" t="s">
        <v>104</v>
      </c>
      <c r="D246" s="24">
        <v>46191</v>
      </c>
      <c r="E246" s="25" t="s">
        <v>328</v>
      </c>
    </row>
    <row r="247" spans="1:5" ht="22.5" customHeight="1" x14ac:dyDescent="0.2">
      <c r="A247" s="3">
        <v>46191.492971828702</v>
      </c>
      <c r="B247" s="20" t="s">
        <v>74</v>
      </c>
      <c r="C247" s="20" t="s">
        <v>53</v>
      </c>
      <c r="D247" s="24">
        <v>46191</v>
      </c>
      <c r="E247" s="25" t="s">
        <v>142</v>
      </c>
    </row>
    <row r="248" spans="1:5" ht="22.5" customHeight="1" x14ac:dyDescent="0.2">
      <c r="A248" s="3">
        <v>46191.49335315972</v>
      </c>
      <c r="B248" s="20" t="s">
        <v>180</v>
      </c>
      <c r="C248" s="20" t="s">
        <v>104</v>
      </c>
      <c r="D248" s="24">
        <v>46191</v>
      </c>
      <c r="E248" s="25" t="s">
        <v>328</v>
      </c>
    </row>
    <row r="249" spans="1:5" ht="22.5" customHeight="1" x14ac:dyDescent="0.2">
      <c r="A249" s="3">
        <v>46191.494507835647</v>
      </c>
      <c r="B249" s="20" t="s">
        <v>62</v>
      </c>
      <c r="C249" s="20" t="s">
        <v>10</v>
      </c>
      <c r="D249" s="24">
        <v>46191</v>
      </c>
      <c r="E249" s="25" t="s">
        <v>334</v>
      </c>
    </row>
    <row r="250" spans="1:5" ht="22.5" customHeight="1" x14ac:dyDescent="0.2">
      <c r="A250" s="3">
        <v>46191.494761481481</v>
      </c>
      <c r="B250" s="20" t="s">
        <v>181</v>
      </c>
      <c r="C250" s="20" t="s">
        <v>4</v>
      </c>
      <c r="D250" s="24">
        <v>46191</v>
      </c>
      <c r="E250" s="25" t="s">
        <v>331</v>
      </c>
    </row>
    <row r="251" spans="1:5" ht="22.5" customHeight="1" x14ac:dyDescent="0.2">
      <c r="A251" s="3">
        <v>46191.495441215273</v>
      </c>
      <c r="B251" s="20" t="s">
        <v>182</v>
      </c>
      <c r="C251" s="20" t="s">
        <v>10</v>
      </c>
      <c r="D251" s="24">
        <v>46191</v>
      </c>
      <c r="E251" s="25" t="s">
        <v>337</v>
      </c>
    </row>
    <row r="252" spans="1:5" ht="22.5" customHeight="1" x14ac:dyDescent="0.2">
      <c r="A252" s="3">
        <v>46191.49546878472</v>
      </c>
      <c r="B252" s="20" t="s">
        <v>22</v>
      </c>
      <c r="C252" s="20" t="s">
        <v>23</v>
      </c>
      <c r="D252" s="24">
        <v>46191</v>
      </c>
      <c r="E252" s="25" t="s">
        <v>332</v>
      </c>
    </row>
    <row r="253" spans="1:5" ht="22.5" customHeight="1" x14ac:dyDescent="0.2">
      <c r="A253" s="3">
        <v>46191.49583994213</v>
      </c>
      <c r="B253" s="20" t="s">
        <v>36</v>
      </c>
      <c r="C253" s="20" t="s">
        <v>10</v>
      </c>
      <c r="D253" s="24">
        <v>46191</v>
      </c>
      <c r="E253" s="25" t="s">
        <v>36</v>
      </c>
    </row>
    <row r="254" spans="1:5" ht="22.5" customHeight="1" x14ac:dyDescent="0.2">
      <c r="A254" s="3">
        <v>46191.49770482639</v>
      </c>
      <c r="B254" s="20" t="s">
        <v>64</v>
      </c>
      <c r="C254" s="20" t="s">
        <v>10</v>
      </c>
      <c r="D254" s="24">
        <v>46191</v>
      </c>
      <c r="E254" s="25" t="s">
        <v>349</v>
      </c>
    </row>
    <row r="255" spans="1:5" ht="22.5" customHeight="1" x14ac:dyDescent="0.2">
      <c r="A255" s="3">
        <v>46191.498925451393</v>
      </c>
      <c r="B255" s="20" t="s">
        <v>65</v>
      </c>
      <c r="C255" s="20" t="s">
        <v>183</v>
      </c>
      <c r="D255" s="24">
        <v>46191</v>
      </c>
      <c r="E255" s="25" t="s">
        <v>350</v>
      </c>
    </row>
    <row r="256" spans="1:5" ht="22.5" customHeight="1" x14ac:dyDescent="0.2">
      <c r="A256" s="3">
        <v>46191.499390462966</v>
      </c>
      <c r="B256" s="20" t="s">
        <v>39</v>
      </c>
      <c r="C256" s="20" t="s">
        <v>184</v>
      </c>
      <c r="D256" s="24">
        <v>46191</v>
      </c>
      <c r="E256" s="25" t="s">
        <v>342</v>
      </c>
    </row>
    <row r="257" spans="1:5" ht="22.5" customHeight="1" x14ac:dyDescent="0.2">
      <c r="A257" s="3">
        <v>46191.500412581023</v>
      </c>
      <c r="B257" s="20" t="s">
        <v>88</v>
      </c>
      <c r="C257" s="20" t="s">
        <v>2</v>
      </c>
      <c r="D257" s="24">
        <v>46191</v>
      </c>
      <c r="E257" s="25" t="s">
        <v>321</v>
      </c>
    </row>
    <row r="258" spans="1:5" ht="22.5" customHeight="1" x14ac:dyDescent="0.2">
      <c r="A258" s="3">
        <v>46191.50088472222</v>
      </c>
      <c r="B258" s="20" t="s">
        <v>98</v>
      </c>
      <c r="C258" s="20" t="s">
        <v>20</v>
      </c>
      <c r="D258" s="24">
        <v>46191</v>
      </c>
      <c r="E258" s="25" t="s">
        <v>330</v>
      </c>
    </row>
    <row r="259" spans="1:5" ht="22.5" customHeight="1" x14ac:dyDescent="0.2">
      <c r="A259" s="3">
        <v>46191.501015532413</v>
      </c>
      <c r="B259" s="20" t="s">
        <v>58</v>
      </c>
      <c r="C259" s="20" t="s">
        <v>185</v>
      </c>
      <c r="D259" s="24">
        <v>46191</v>
      </c>
      <c r="E259" s="25" t="s">
        <v>327</v>
      </c>
    </row>
    <row r="260" spans="1:5" ht="22.5" customHeight="1" x14ac:dyDescent="0.2">
      <c r="A260" s="3">
        <v>46191.501353240739</v>
      </c>
      <c r="B260" s="20" t="s">
        <v>115</v>
      </c>
      <c r="C260" s="20" t="s">
        <v>52</v>
      </c>
      <c r="D260" s="24">
        <v>46191</v>
      </c>
      <c r="E260" s="25" t="s">
        <v>354</v>
      </c>
    </row>
    <row r="261" spans="1:5" ht="22.5" customHeight="1" x14ac:dyDescent="0.2">
      <c r="A261" s="3">
        <v>46191.501437557876</v>
      </c>
      <c r="B261" s="20" t="s">
        <v>67</v>
      </c>
      <c r="C261" s="20" t="s">
        <v>186</v>
      </c>
      <c r="D261" s="24">
        <v>46191</v>
      </c>
      <c r="E261" s="25" t="s">
        <v>326</v>
      </c>
    </row>
    <row r="262" spans="1:5" ht="22.5" customHeight="1" x14ac:dyDescent="0.2">
      <c r="A262" s="3">
        <v>46191.513151932872</v>
      </c>
      <c r="B262" s="20" t="s">
        <v>54</v>
      </c>
      <c r="C262" s="20" t="s">
        <v>10</v>
      </c>
      <c r="D262" s="24">
        <v>46191</v>
      </c>
      <c r="E262" s="25" t="s">
        <v>348</v>
      </c>
    </row>
    <row r="263" spans="1:5" ht="22.5" customHeight="1" x14ac:dyDescent="0.2">
      <c r="A263" s="3">
        <v>46191.516824675928</v>
      </c>
      <c r="B263" s="20" t="s">
        <v>69</v>
      </c>
      <c r="C263" s="20" t="s">
        <v>112</v>
      </c>
      <c r="D263" s="24">
        <v>46191</v>
      </c>
      <c r="E263" s="25" t="s">
        <v>351</v>
      </c>
    </row>
    <row r="264" spans="1:5" ht="22.5" customHeight="1" x14ac:dyDescent="0.2">
      <c r="A264" s="3">
        <v>46191.516860497686</v>
      </c>
      <c r="B264" s="20" t="s">
        <v>40</v>
      </c>
      <c r="C264" s="20" t="s">
        <v>10</v>
      </c>
      <c r="D264" s="24">
        <v>46191</v>
      </c>
      <c r="E264" s="25" t="s">
        <v>343</v>
      </c>
    </row>
    <row r="265" spans="1:5" ht="22.5" customHeight="1" x14ac:dyDescent="0.2">
      <c r="A265" s="3">
        <v>46191.516989050928</v>
      </c>
      <c r="B265" s="20" t="s">
        <v>187</v>
      </c>
      <c r="C265" s="20" t="s">
        <v>188</v>
      </c>
      <c r="D265" s="24">
        <v>46191</v>
      </c>
      <c r="E265" s="25" t="s">
        <v>338</v>
      </c>
    </row>
    <row r="266" spans="1:5" ht="22.5" customHeight="1" x14ac:dyDescent="0.2">
      <c r="A266" s="3">
        <v>46191.517396446754</v>
      </c>
      <c r="B266" s="20" t="s">
        <v>44</v>
      </c>
      <c r="C266" s="20" t="s">
        <v>129</v>
      </c>
      <c r="D266" s="24">
        <v>46191</v>
      </c>
      <c r="E266" s="25" t="s">
        <v>44</v>
      </c>
    </row>
    <row r="267" spans="1:5" ht="22.5" customHeight="1" x14ac:dyDescent="0.2">
      <c r="A267" s="3">
        <v>46191.517536168976</v>
      </c>
      <c r="B267" s="20" t="s">
        <v>24</v>
      </c>
      <c r="C267" s="20" t="s">
        <v>6</v>
      </c>
      <c r="D267" s="24">
        <v>46191</v>
      </c>
      <c r="E267" s="25" t="s">
        <v>333</v>
      </c>
    </row>
    <row r="268" spans="1:5" ht="22.5" customHeight="1" x14ac:dyDescent="0.2">
      <c r="A268" s="3">
        <v>46191.517594351855</v>
      </c>
      <c r="B268" s="20" t="s">
        <v>106</v>
      </c>
      <c r="C268" s="20" t="s">
        <v>10</v>
      </c>
      <c r="D268" s="24">
        <v>46191</v>
      </c>
      <c r="E268" s="25" t="s">
        <v>339</v>
      </c>
    </row>
    <row r="269" spans="1:5" ht="22.5" customHeight="1" x14ac:dyDescent="0.2">
      <c r="A269" s="3">
        <v>46191.521423437502</v>
      </c>
      <c r="B269" s="20" t="s">
        <v>46</v>
      </c>
      <c r="C269" s="20" t="s">
        <v>134</v>
      </c>
      <c r="D269" s="24">
        <v>46191</v>
      </c>
      <c r="E269" s="25" t="s">
        <v>345</v>
      </c>
    </row>
    <row r="270" spans="1:5" ht="22.5" customHeight="1" x14ac:dyDescent="0.2">
      <c r="A270" s="3">
        <v>46191.525801087962</v>
      </c>
      <c r="B270" s="20" t="s">
        <v>18</v>
      </c>
      <c r="C270" s="20" t="s">
        <v>96</v>
      </c>
      <c r="D270" s="24">
        <v>46191</v>
      </c>
      <c r="E270" s="25" t="s">
        <v>329</v>
      </c>
    </row>
    <row r="271" spans="1:5" ht="22.5" customHeight="1" x14ac:dyDescent="0.2">
      <c r="A271" s="3">
        <v>46196.49328790509</v>
      </c>
      <c r="B271" s="20" t="s">
        <v>98</v>
      </c>
      <c r="C271" s="20" t="s">
        <v>165</v>
      </c>
      <c r="D271" s="24">
        <v>46196</v>
      </c>
      <c r="E271" s="25" t="s">
        <v>330</v>
      </c>
    </row>
    <row r="272" spans="1:5" ht="22.5" customHeight="1" x14ac:dyDescent="0.2">
      <c r="A272" s="3">
        <v>46196.493501944446</v>
      </c>
      <c r="B272" s="20" t="s">
        <v>17</v>
      </c>
      <c r="C272" s="20" t="s">
        <v>104</v>
      </c>
      <c r="D272" s="24">
        <v>46196</v>
      </c>
      <c r="E272" s="25" t="s">
        <v>328</v>
      </c>
    </row>
    <row r="273" spans="1:5" ht="22.5" customHeight="1" x14ac:dyDescent="0.2">
      <c r="A273" s="3">
        <v>46196.493659155094</v>
      </c>
      <c r="B273" s="20" t="s">
        <v>17</v>
      </c>
      <c r="C273" s="20" t="s">
        <v>104</v>
      </c>
      <c r="D273" s="24">
        <v>46196</v>
      </c>
      <c r="E273" s="25" t="s">
        <v>328</v>
      </c>
    </row>
    <row r="274" spans="1:5" ht="22.5" customHeight="1" x14ac:dyDescent="0.2">
      <c r="A274" s="3">
        <v>46196.494517407409</v>
      </c>
      <c r="B274" s="20" t="s">
        <v>115</v>
      </c>
      <c r="C274" s="20" t="s">
        <v>116</v>
      </c>
      <c r="D274" s="24">
        <v>46196</v>
      </c>
      <c r="E274" s="25" t="s">
        <v>354</v>
      </c>
    </row>
    <row r="275" spans="1:5" ht="22.5" customHeight="1" x14ac:dyDescent="0.2">
      <c r="A275" s="3">
        <v>46196.494548333329</v>
      </c>
      <c r="B275" s="20" t="s">
        <v>21</v>
      </c>
      <c r="C275" s="20" t="s">
        <v>4</v>
      </c>
      <c r="D275" s="24">
        <v>46196</v>
      </c>
      <c r="E275" s="25" t="s">
        <v>331</v>
      </c>
    </row>
    <row r="276" spans="1:5" ht="22.5" customHeight="1" x14ac:dyDescent="0.2">
      <c r="A276" s="3">
        <v>46196.494754872685</v>
      </c>
      <c r="B276" s="20" t="s">
        <v>5</v>
      </c>
      <c r="C276" s="20" t="s">
        <v>60</v>
      </c>
      <c r="D276" s="24">
        <v>46196</v>
      </c>
      <c r="E276" s="25" t="s">
        <v>323</v>
      </c>
    </row>
    <row r="277" spans="1:5" ht="22.5" customHeight="1" x14ac:dyDescent="0.2">
      <c r="A277" s="3">
        <v>46196.495316863424</v>
      </c>
      <c r="B277" s="20" t="s">
        <v>58</v>
      </c>
      <c r="C277" s="20" t="s">
        <v>16</v>
      </c>
      <c r="D277" s="24">
        <v>46196</v>
      </c>
      <c r="E277" s="25" t="s">
        <v>327</v>
      </c>
    </row>
    <row r="278" spans="1:5" ht="22.5" customHeight="1" x14ac:dyDescent="0.2">
      <c r="A278" s="3">
        <v>46196.496163495365</v>
      </c>
      <c r="B278" s="20" t="s">
        <v>189</v>
      </c>
      <c r="C278" s="20">
        <v>39577091</v>
      </c>
      <c r="D278" s="24">
        <v>46196</v>
      </c>
      <c r="E278" s="25" t="s">
        <v>338</v>
      </c>
    </row>
    <row r="279" spans="1:5" ht="22.5" customHeight="1" x14ac:dyDescent="0.2">
      <c r="A279" s="3">
        <v>46196.496650532412</v>
      </c>
      <c r="B279" s="20" t="s">
        <v>190</v>
      </c>
      <c r="C279" s="20" t="s">
        <v>10</v>
      </c>
      <c r="D279" s="24">
        <v>46196</v>
      </c>
      <c r="E279" s="25" t="s">
        <v>335</v>
      </c>
    </row>
    <row r="280" spans="1:5" ht="22.5" customHeight="1" x14ac:dyDescent="0.2">
      <c r="A280" s="3">
        <v>46196.49675795139</v>
      </c>
      <c r="B280" s="20" t="s">
        <v>111</v>
      </c>
      <c r="C280" s="20" t="s">
        <v>112</v>
      </c>
      <c r="D280" s="24">
        <v>46196</v>
      </c>
      <c r="E280" s="25" t="s">
        <v>351</v>
      </c>
    </row>
    <row r="281" spans="1:5" ht="22.5" customHeight="1" x14ac:dyDescent="0.2">
      <c r="A281" s="3">
        <v>46196.50031938657</v>
      </c>
      <c r="B281" s="20" t="s">
        <v>95</v>
      </c>
      <c r="C281" s="20" t="s">
        <v>141</v>
      </c>
      <c r="D281" s="24">
        <v>46196</v>
      </c>
      <c r="E281" s="25" t="s">
        <v>355</v>
      </c>
    </row>
    <row r="282" spans="1:5" ht="22.5" customHeight="1" x14ac:dyDescent="0.2">
      <c r="A282" s="3">
        <v>46196.500418738426</v>
      </c>
      <c r="B282" s="20" t="s">
        <v>18</v>
      </c>
      <c r="C282" s="20" t="s">
        <v>96</v>
      </c>
      <c r="D282" s="24">
        <v>46196</v>
      </c>
      <c r="E282" s="25" t="s">
        <v>329</v>
      </c>
    </row>
    <row r="283" spans="1:5" ht="22.5" customHeight="1" x14ac:dyDescent="0.2">
      <c r="A283" s="3">
        <v>46196.500637465273</v>
      </c>
      <c r="B283" s="20" t="s">
        <v>174</v>
      </c>
      <c r="C283" s="20" t="s">
        <v>191</v>
      </c>
      <c r="D283" s="24">
        <v>46196</v>
      </c>
      <c r="E283" s="25" t="s">
        <v>356</v>
      </c>
    </row>
    <row r="284" spans="1:5" ht="22.5" customHeight="1" x14ac:dyDescent="0.2">
      <c r="A284" s="3">
        <v>46196.500641076389</v>
      </c>
      <c r="B284" s="20" t="s">
        <v>22</v>
      </c>
      <c r="C284" s="20" t="s">
        <v>23</v>
      </c>
      <c r="D284" s="24">
        <v>46196</v>
      </c>
      <c r="E284" s="25" t="s">
        <v>332</v>
      </c>
    </row>
    <row r="285" spans="1:5" ht="22.5" customHeight="1" x14ac:dyDescent="0.2">
      <c r="A285" s="3">
        <v>46196.500712453708</v>
      </c>
      <c r="B285" s="20" t="s">
        <v>56</v>
      </c>
      <c r="C285" s="20" t="s">
        <v>192</v>
      </c>
      <c r="D285" s="24">
        <v>46196</v>
      </c>
      <c r="E285" s="25" t="s">
        <v>324</v>
      </c>
    </row>
    <row r="286" spans="1:5" ht="22.5" customHeight="1" x14ac:dyDescent="0.2">
      <c r="A286" s="3">
        <v>46196.500753506945</v>
      </c>
      <c r="B286" s="20" t="s">
        <v>61</v>
      </c>
      <c r="C286" s="20" t="s">
        <v>193</v>
      </c>
      <c r="D286" s="24">
        <v>46196</v>
      </c>
      <c r="E286" s="25" t="s">
        <v>322</v>
      </c>
    </row>
    <row r="287" spans="1:5" ht="22.5" customHeight="1" x14ac:dyDescent="0.2">
      <c r="A287" s="3">
        <v>46196.500769953709</v>
      </c>
      <c r="B287" s="20" t="s">
        <v>39</v>
      </c>
      <c r="C287" s="20" t="s">
        <v>84</v>
      </c>
      <c r="D287" s="24">
        <v>46196</v>
      </c>
      <c r="E287" s="25" t="s">
        <v>342</v>
      </c>
    </row>
    <row r="288" spans="1:5" ht="22.5" customHeight="1" x14ac:dyDescent="0.2">
      <c r="A288" s="3">
        <v>46196.500932083334</v>
      </c>
      <c r="B288" s="20" t="s">
        <v>89</v>
      </c>
      <c r="C288" s="20" t="s">
        <v>53</v>
      </c>
      <c r="D288" s="24">
        <v>46196</v>
      </c>
      <c r="E288" s="25" t="s">
        <v>347</v>
      </c>
    </row>
    <row r="289" spans="1:5" ht="22.5" customHeight="1" x14ac:dyDescent="0.2">
      <c r="A289" s="3">
        <v>46196.501077592591</v>
      </c>
      <c r="B289" s="20" t="s">
        <v>35</v>
      </c>
      <c r="C289" s="20" t="s">
        <v>194</v>
      </c>
      <c r="D289" s="24">
        <v>46196</v>
      </c>
      <c r="E289" s="25" t="s">
        <v>340</v>
      </c>
    </row>
    <row r="290" spans="1:5" ht="22.5" customHeight="1" x14ac:dyDescent="0.2">
      <c r="A290" s="3">
        <v>46196.501156724538</v>
      </c>
      <c r="B290" s="20" t="s">
        <v>44</v>
      </c>
      <c r="C290" s="20" t="s">
        <v>195</v>
      </c>
      <c r="D290" s="24">
        <v>46196</v>
      </c>
      <c r="E290" s="25" t="s">
        <v>44</v>
      </c>
    </row>
    <row r="291" spans="1:5" ht="22.5" customHeight="1" x14ac:dyDescent="0.2">
      <c r="A291" s="3">
        <v>46196.501766203699</v>
      </c>
      <c r="B291" s="20" t="s">
        <v>67</v>
      </c>
      <c r="C291" s="20" t="s">
        <v>128</v>
      </c>
      <c r="D291" s="24">
        <v>46196</v>
      </c>
      <c r="E291" s="25" t="s">
        <v>326</v>
      </c>
    </row>
    <row r="292" spans="1:5" ht="22.5" customHeight="1" x14ac:dyDescent="0.2">
      <c r="A292" s="3">
        <v>46196.501815868054</v>
      </c>
      <c r="B292" s="20" t="s">
        <v>196</v>
      </c>
      <c r="C292" s="20" t="s">
        <v>197</v>
      </c>
      <c r="D292" s="24">
        <v>46196</v>
      </c>
      <c r="E292" s="25" t="s">
        <v>349</v>
      </c>
    </row>
    <row r="293" spans="1:5" ht="22.5" customHeight="1" x14ac:dyDescent="0.2">
      <c r="A293" s="3">
        <v>46196.502840243054</v>
      </c>
      <c r="B293" s="20" t="s">
        <v>54</v>
      </c>
      <c r="C293" s="20" t="s">
        <v>10</v>
      </c>
      <c r="D293" s="24">
        <v>46196</v>
      </c>
      <c r="E293" s="25" t="s">
        <v>348</v>
      </c>
    </row>
    <row r="294" spans="1:5" ht="22.5" customHeight="1" x14ac:dyDescent="0.2">
      <c r="A294" s="3">
        <v>46196.50302207176</v>
      </c>
      <c r="B294" s="20" t="s">
        <v>25</v>
      </c>
      <c r="C294" s="20" t="s">
        <v>10</v>
      </c>
      <c r="D294" s="24">
        <v>46196</v>
      </c>
      <c r="E294" s="25" t="s">
        <v>334</v>
      </c>
    </row>
    <row r="295" spans="1:5" ht="22.5" customHeight="1" x14ac:dyDescent="0.2">
      <c r="A295" s="3">
        <v>46196.503319641204</v>
      </c>
      <c r="B295" s="20" t="s">
        <v>36</v>
      </c>
      <c r="C295" s="20" t="s">
        <v>10</v>
      </c>
      <c r="D295" s="24">
        <v>46196</v>
      </c>
      <c r="E295" s="25" t="s">
        <v>36</v>
      </c>
    </row>
    <row r="296" spans="1:5" ht="22.5" customHeight="1" x14ac:dyDescent="0.2">
      <c r="A296" s="3">
        <v>46196.504468726853</v>
      </c>
      <c r="B296" s="20" t="s">
        <v>65</v>
      </c>
      <c r="C296" s="20" t="s">
        <v>183</v>
      </c>
      <c r="D296" s="24">
        <v>46196</v>
      </c>
      <c r="E296" s="25" t="s">
        <v>350</v>
      </c>
    </row>
    <row r="297" spans="1:5" ht="22.5" customHeight="1" x14ac:dyDescent="0.2">
      <c r="A297" s="3">
        <v>46196.50448260417</v>
      </c>
      <c r="B297" s="20" t="s">
        <v>106</v>
      </c>
      <c r="C297" s="20" t="s">
        <v>10</v>
      </c>
      <c r="D297" s="24">
        <v>46196</v>
      </c>
      <c r="E297" s="25" t="s">
        <v>339</v>
      </c>
    </row>
    <row r="298" spans="1:5" ht="22.5" customHeight="1" x14ac:dyDescent="0.2">
      <c r="A298" s="3">
        <v>46196.508993101852</v>
      </c>
      <c r="B298" s="20" t="s">
        <v>24</v>
      </c>
      <c r="C298" s="20" t="s">
        <v>6</v>
      </c>
      <c r="D298" s="24">
        <v>46196</v>
      </c>
      <c r="E298" s="25" t="s">
        <v>333</v>
      </c>
    </row>
    <row r="299" spans="1:5" ht="22.5" customHeight="1" x14ac:dyDescent="0.2">
      <c r="A299" s="3">
        <v>46196.509524236113</v>
      </c>
      <c r="B299" s="20" t="s">
        <v>76</v>
      </c>
      <c r="C299" s="20" t="s">
        <v>10</v>
      </c>
      <c r="D299" s="24">
        <v>46196</v>
      </c>
      <c r="E299" s="25" t="s">
        <v>125</v>
      </c>
    </row>
    <row r="300" spans="1:5" ht="22.5" customHeight="1" x14ac:dyDescent="0.2">
      <c r="A300" s="3">
        <v>46196.515530347227</v>
      </c>
      <c r="B300" s="20" t="s">
        <v>182</v>
      </c>
      <c r="C300" s="20" t="s">
        <v>10</v>
      </c>
      <c r="D300" s="24">
        <v>46196</v>
      </c>
      <c r="E300" s="25" t="s">
        <v>337</v>
      </c>
    </row>
    <row r="301" spans="1:5" ht="22.5" customHeight="1" x14ac:dyDescent="0.2">
      <c r="A301" s="3">
        <v>46196.517841724533</v>
      </c>
      <c r="B301" s="20" t="s">
        <v>13</v>
      </c>
      <c r="C301" s="20" t="s">
        <v>53</v>
      </c>
      <c r="D301" s="24">
        <v>46196</v>
      </c>
      <c r="E301" s="25" t="s">
        <v>142</v>
      </c>
    </row>
    <row r="302" spans="1:5" ht="22.5" customHeight="1" x14ac:dyDescent="0.2">
      <c r="A302" s="3">
        <v>46196.518107928241</v>
      </c>
      <c r="B302" s="20" t="s">
        <v>49</v>
      </c>
      <c r="C302" s="20" t="s">
        <v>77</v>
      </c>
      <c r="D302" s="24">
        <v>46196</v>
      </c>
      <c r="E302" s="25" t="s">
        <v>346</v>
      </c>
    </row>
    <row r="303" spans="1:5" ht="22.5" customHeight="1" x14ac:dyDescent="0.2">
      <c r="A303" s="3">
        <v>46196.518133703707</v>
      </c>
      <c r="B303" s="20" t="s">
        <v>121</v>
      </c>
      <c r="C303" s="20" t="s">
        <v>10</v>
      </c>
      <c r="D303" s="24">
        <v>46196</v>
      </c>
      <c r="E303" s="25" t="s">
        <v>155</v>
      </c>
    </row>
    <row r="304" spans="1:5" ht="22.5" customHeight="1" x14ac:dyDescent="0.2">
      <c r="A304" s="3">
        <v>46196.51939483796</v>
      </c>
      <c r="B304" s="20" t="s">
        <v>119</v>
      </c>
      <c r="C304" s="20" t="s">
        <v>72</v>
      </c>
      <c r="D304" s="24">
        <v>46196</v>
      </c>
      <c r="E304" s="25" t="s">
        <v>352</v>
      </c>
    </row>
    <row r="305" spans="1:5" ht="22.5" customHeight="1" x14ac:dyDescent="0.2">
      <c r="A305" s="3">
        <v>46196.521061192128</v>
      </c>
      <c r="B305" s="20" t="s">
        <v>160</v>
      </c>
      <c r="C305" s="20" t="s">
        <v>112</v>
      </c>
      <c r="D305" s="24">
        <v>46196</v>
      </c>
      <c r="E305" s="25" t="s">
        <v>357</v>
      </c>
    </row>
    <row r="306" spans="1:5" ht="22.5" customHeight="1" x14ac:dyDescent="0.2">
      <c r="A306" s="3">
        <v>46196.530083738427</v>
      </c>
      <c r="B306" s="20" t="s">
        <v>198</v>
      </c>
      <c r="C306" s="20" t="s">
        <v>10</v>
      </c>
      <c r="D306" s="24">
        <v>46196</v>
      </c>
      <c r="E306" s="25" t="s">
        <v>343</v>
      </c>
    </row>
    <row r="307" spans="1:5" ht="22.5" customHeight="1" x14ac:dyDescent="0.2">
      <c r="A307" s="3">
        <v>46196.535268217587</v>
      </c>
      <c r="B307" s="20" t="s">
        <v>85</v>
      </c>
      <c r="C307" s="20" t="s">
        <v>163</v>
      </c>
      <c r="D307" s="24">
        <v>46196</v>
      </c>
      <c r="E307" s="25" t="s">
        <v>353</v>
      </c>
    </row>
    <row r="308" spans="1:5" ht="22.5" customHeight="1" x14ac:dyDescent="0.2">
      <c r="A308" s="3">
        <v>46196.539693182873</v>
      </c>
      <c r="B308" s="20" t="s">
        <v>46</v>
      </c>
      <c r="C308" s="20" t="s">
        <v>134</v>
      </c>
      <c r="D308" s="24">
        <v>46196</v>
      </c>
      <c r="E308" s="25" t="s">
        <v>345</v>
      </c>
    </row>
    <row r="309" spans="1:5" ht="22.5" customHeight="1" x14ac:dyDescent="0.2">
      <c r="A309" s="3">
        <v>46197.429023136574</v>
      </c>
      <c r="B309" s="20" t="s">
        <v>9</v>
      </c>
      <c r="C309" s="20" t="s">
        <v>63</v>
      </c>
      <c r="D309" s="24">
        <v>46197</v>
      </c>
      <c r="E309" s="25" t="s">
        <v>325</v>
      </c>
    </row>
    <row r="310" spans="1:5" ht="22.5" customHeight="1" x14ac:dyDescent="0.2">
      <c r="A310" s="3">
        <v>46197.518913877313</v>
      </c>
      <c r="B310" s="20" t="s">
        <v>22</v>
      </c>
      <c r="C310" s="20" t="s">
        <v>23</v>
      </c>
      <c r="D310" s="24">
        <v>46197</v>
      </c>
      <c r="E310" s="25" t="s">
        <v>332</v>
      </c>
    </row>
    <row r="311" spans="1:5" ht="22.5" customHeight="1" x14ac:dyDescent="0.2">
      <c r="A311" s="3">
        <v>46197.52117876157</v>
      </c>
      <c r="B311" s="20" t="s">
        <v>106</v>
      </c>
      <c r="C311" s="20" t="s">
        <v>10</v>
      </c>
      <c r="D311" s="24">
        <v>46197</v>
      </c>
      <c r="E311" s="25" t="s">
        <v>339</v>
      </c>
    </row>
    <row r="312" spans="1:5" ht="22.5" customHeight="1" x14ac:dyDescent="0.2">
      <c r="A312" s="3">
        <v>46197.521181793985</v>
      </c>
      <c r="B312" s="20" t="s">
        <v>39</v>
      </c>
      <c r="C312" s="20" t="s">
        <v>184</v>
      </c>
      <c r="D312" s="24">
        <v>46197</v>
      </c>
      <c r="E312" s="25" t="s">
        <v>342</v>
      </c>
    </row>
    <row r="313" spans="1:5" ht="22.5" customHeight="1" x14ac:dyDescent="0.2">
      <c r="A313" s="3">
        <v>46197.521182847224</v>
      </c>
      <c r="B313" s="20" t="s">
        <v>22</v>
      </c>
      <c r="C313" s="20" t="s">
        <v>23</v>
      </c>
      <c r="D313" s="24">
        <v>46197</v>
      </c>
      <c r="E313" s="25" t="s">
        <v>332</v>
      </c>
    </row>
    <row r="314" spans="1:5" ht="22.5" customHeight="1" x14ac:dyDescent="0.2">
      <c r="A314" s="3">
        <v>46197.521212187501</v>
      </c>
      <c r="B314" s="20" t="s">
        <v>65</v>
      </c>
      <c r="C314" s="20" t="s">
        <v>183</v>
      </c>
      <c r="D314" s="24">
        <v>46197</v>
      </c>
      <c r="E314" s="25" t="s">
        <v>350</v>
      </c>
    </row>
    <row r="315" spans="1:5" ht="22.5" customHeight="1" x14ac:dyDescent="0.2">
      <c r="A315" s="3">
        <v>46197.521225393517</v>
      </c>
      <c r="B315" s="20" t="s">
        <v>40</v>
      </c>
      <c r="C315" s="20" t="s">
        <v>10</v>
      </c>
      <c r="D315" s="24">
        <v>46197</v>
      </c>
      <c r="E315" s="25" t="s">
        <v>343</v>
      </c>
    </row>
    <row r="316" spans="1:5" ht="22.5" customHeight="1" x14ac:dyDescent="0.2">
      <c r="A316" s="3">
        <v>46197.521257500004</v>
      </c>
      <c r="B316" s="20" t="s">
        <v>17</v>
      </c>
      <c r="C316" s="20" t="s">
        <v>104</v>
      </c>
      <c r="D316" s="24">
        <v>46197</v>
      </c>
      <c r="E316" s="25" t="s">
        <v>328</v>
      </c>
    </row>
    <row r="317" spans="1:5" ht="22.5" customHeight="1" x14ac:dyDescent="0.2">
      <c r="A317" s="3">
        <v>46197.521260277776</v>
      </c>
      <c r="B317" s="20" t="s">
        <v>64</v>
      </c>
      <c r="C317" s="20" t="s">
        <v>10</v>
      </c>
      <c r="D317" s="24">
        <v>46197</v>
      </c>
      <c r="E317" s="25" t="s">
        <v>349</v>
      </c>
    </row>
    <row r="318" spans="1:5" ht="22.5" customHeight="1" x14ac:dyDescent="0.2">
      <c r="A318" s="3">
        <v>46197.521277337961</v>
      </c>
      <c r="B318" s="20" t="s">
        <v>111</v>
      </c>
      <c r="C318" s="20" t="s">
        <v>199</v>
      </c>
      <c r="D318" s="24">
        <v>46197</v>
      </c>
      <c r="E318" s="25" t="s">
        <v>351</v>
      </c>
    </row>
    <row r="319" spans="1:5" ht="22.5" customHeight="1" x14ac:dyDescent="0.2">
      <c r="A319" s="3">
        <v>46197.521325960653</v>
      </c>
      <c r="B319" s="20" t="s">
        <v>25</v>
      </c>
      <c r="C319" s="20" t="s">
        <v>10</v>
      </c>
      <c r="D319" s="24">
        <v>46197</v>
      </c>
      <c r="E319" s="25" t="s">
        <v>334</v>
      </c>
    </row>
    <row r="320" spans="1:5" ht="22.5" customHeight="1" x14ac:dyDescent="0.2">
      <c r="A320" s="3">
        <v>46197.521338344908</v>
      </c>
      <c r="B320" s="20" t="s">
        <v>200</v>
      </c>
      <c r="C320" s="20" t="s">
        <v>53</v>
      </c>
      <c r="D320" s="24">
        <v>46197</v>
      </c>
      <c r="E320" s="25" t="s">
        <v>142</v>
      </c>
    </row>
    <row r="321" spans="1:5" ht="22.5" customHeight="1" x14ac:dyDescent="0.2">
      <c r="A321" s="3">
        <v>46197.521344039356</v>
      </c>
      <c r="B321" s="20" t="s">
        <v>61</v>
      </c>
      <c r="C321" s="20" t="s">
        <v>178</v>
      </c>
      <c r="D321" s="24">
        <v>46197</v>
      </c>
      <c r="E321" s="25" t="s">
        <v>322</v>
      </c>
    </row>
    <row r="322" spans="1:5" ht="22.5" customHeight="1" x14ac:dyDescent="0.2">
      <c r="A322" s="3">
        <v>46197.521345081019</v>
      </c>
      <c r="B322" s="20" t="s">
        <v>201</v>
      </c>
      <c r="C322" s="20">
        <v>39577091</v>
      </c>
      <c r="D322" s="24">
        <v>46197</v>
      </c>
      <c r="E322" s="25" t="s">
        <v>338</v>
      </c>
    </row>
    <row r="323" spans="1:5" ht="22.5" customHeight="1" x14ac:dyDescent="0.2">
      <c r="A323" s="3">
        <v>46197.521355370365</v>
      </c>
      <c r="B323" s="20" t="s">
        <v>21</v>
      </c>
      <c r="C323" s="20" t="s">
        <v>4</v>
      </c>
      <c r="D323" s="24">
        <v>46197</v>
      </c>
      <c r="E323" s="25" t="s">
        <v>331</v>
      </c>
    </row>
    <row r="324" spans="1:5" ht="22.5" customHeight="1" x14ac:dyDescent="0.2">
      <c r="A324" s="3">
        <v>46197.521440416662</v>
      </c>
      <c r="B324" s="20" t="s">
        <v>100</v>
      </c>
      <c r="C324" s="20" t="s">
        <v>166</v>
      </c>
      <c r="D324" s="24">
        <v>46197</v>
      </c>
      <c r="E324" s="25" t="s">
        <v>155</v>
      </c>
    </row>
    <row r="325" spans="1:5" ht="22.5" customHeight="1" x14ac:dyDescent="0.2">
      <c r="A325" s="3">
        <v>46197.521489780091</v>
      </c>
      <c r="B325" s="20" t="s">
        <v>17</v>
      </c>
      <c r="C325" s="20" t="s">
        <v>104</v>
      </c>
      <c r="D325" s="24">
        <v>46197</v>
      </c>
      <c r="E325" s="25" t="s">
        <v>328</v>
      </c>
    </row>
    <row r="326" spans="1:5" ht="22.5" customHeight="1" x14ac:dyDescent="0.2">
      <c r="A326" s="3">
        <v>46197.521517106477</v>
      </c>
      <c r="B326" s="20" t="s">
        <v>73</v>
      </c>
      <c r="C326" s="20" t="s">
        <v>10</v>
      </c>
      <c r="D326" s="24">
        <v>46197</v>
      </c>
      <c r="E326" s="25" t="s">
        <v>335</v>
      </c>
    </row>
    <row r="327" spans="1:5" ht="22.5" customHeight="1" x14ac:dyDescent="0.2">
      <c r="A327" s="3">
        <v>46197.521519664355</v>
      </c>
      <c r="B327" s="20" t="s">
        <v>202</v>
      </c>
      <c r="C327" s="20" t="s">
        <v>129</v>
      </c>
      <c r="D327" s="24">
        <v>46197</v>
      </c>
      <c r="E327" s="25" t="s">
        <v>44</v>
      </c>
    </row>
    <row r="328" spans="1:5" ht="22.5" customHeight="1" x14ac:dyDescent="0.2">
      <c r="A328" s="3">
        <v>46197.521596388891</v>
      </c>
      <c r="B328" s="20" t="s">
        <v>89</v>
      </c>
      <c r="C328" s="20" t="s">
        <v>53</v>
      </c>
      <c r="D328" s="24">
        <v>46197</v>
      </c>
      <c r="E328" s="25" t="s">
        <v>347</v>
      </c>
    </row>
    <row r="329" spans="1:5" ht="22.5" customHeight="1" x14ac:dyDescent="0.2">
      <c r="A329" s="3">
        <v>46197.521697870368</v>
      </c>
      <c r="B329" s="20" t="s">
        <v>189</v>
      </c>
      <c r="C329" s="20" t="s">
        <v>33</v>
      </c>
      <c r="D329" s="24">
        <v>46197</v>
      </c>
      <c r="E329" s="25" t="s">
        <v>338</v>
      </c>
    </row>
    <row r="330" spans="1:5" ht="22.5" customHeight="1" x14ac:dyDescent="0.2">
      <c r="A330" s="3">
        <v>46197.521847523152</v>
      </c>
      <c r="B330" s="20" t="s">
        <v>49</v>
      </c>
      <c r="C330" s="20" t="s">
        <v>77</v>
      </c>
      <c r="D330" s="24">
        <v>46197</v>
      </c>
      <c r="E330" s="25" t="s">
        <v>346</v>
      </c>
    </row>
    <row r="331" spans="1:5" ht="22.5" customHeight="1" x14ac:dyDescent="0.2">
      <c r="A331" s="3">
        <v>46197.52240396991</v>
      </c>
      <c r="B331" s="20" t="s">
        <v>11</v>
      </c>
      <c r="C331" s="20" t="s">
        <v>128</v>
      </c>
      <c r="D331" s="24">
        <v>46197</v>
      </c>
      <c r="E331" s="25" t="s">
        <v>326</v>
      </c>
    </row>
    <row r="332" spans="1:5" ht="22.5" customHeight="1" x14ac:dyDescent="0.2">
      <c r="A332" s="3">
        <v>46197.523033495367</v>
      </c>
      <c r="B332" s="20" t="s">
        <v>54</v>
      </c>
      <c r="C332" s="20" t="s">
        <v>10</v>
      </c>
      <c r="D332" s="24">
        <v>46197</v>
      </c>
      <c r="E332" s="25" t="s">
        <v>348</v>
      </c>
    </row>
    <row r="333" spans="1:5" ht="22.5" customHeight="1" x14ac:dyDescent="0.2">
      <c r="A333" s="3">
        <v>46197.523313981481</v>
      </c>
      <c r="B333" s="20" t="s">
        <v>56</v>
      </c>
      <c r="C333" s="20" t="s">
        <v>57</v>
      </c>
      <c r="D333" s="24">
        <v>46197</v>
      </c>
      <c r="E333" s="25" t="s">
        <v>324</v>
      </c>
    </row>
    <row r="334" spans="1:5" ht="22.5" customHeight="1" x14ac:dyDescent="0.2">
      <c r="A334" s="3">
        <v>46197.523530972219</v>
      </c>
      <c r="B334" s="20" t="s">
        <v>24</v>
      </c>
      <c r="C334" s="20" t="s">
        <v>6</v>
      </c>
      <c r="D334" s="24">
        <v>46197</v>
      </c>
      <c r="E334" s="25" t="s">
        <v>333</v>
      </c>
    </row>
    <row r="335" spans="1:5" ht="22.5" customHeight="1" x14ac:dyDescent="0.2">
      <c r="A335" s="3">
        <v>46197.526182199072</v>
      </c>
      <c r="B335" s="20" t="s">
        <v>18</v>
      </c>
      <c r="C335" s="20" t="s">
        <v>96</v>
      </c>
      <c r="D335" s="24">
        <v>46197</v>
      </c>
      <c r="E335" s="25" t="s">
        <v>329</v>
      </c>
    </row>
    <row r="336" spans="1:5" ht="22.5" customHeight="1" x14ac:dyDescent="0.2">
      <c r="A336" s="3">
        <v>46197.54286001157</v>
      </c>
      <c r="B336" s="20" t="s">
        <v>76</v>
      </c>
      <c r="C336" s="20" t="s">
        <v>10</v>
      </c>
      <c r="D336" s="24">
        <v>46197</v>
      </c>
      <c r="E336" s="25" t="s">
        <v>125</v>
      </c>
    </row>
    <row r="337" spans="1:5" ht="22.5" customHeight="1" x14ac:dyDescent="0.2">
      <c r="A337" s="3">
        <v>46198.322718043986</v>
      </c>
      <c r="B337" s="20" t="s">
        <v>182</v>
      </c>
      <c r="C337" s="20" t="s">
        <v>10</v>
      </c>
      <c r="D337" s="24">
        <v>46198</v>
      </c>
      <c r="E337" s="25" t="s">
        <v>337</v>
      </c>
    </row>
    <row r="338" spans="1:5" ht="22.5" customHeight="1" x14ac:dyDescent="0.2">
      <c r="A338" s="3">
        <v>46198.429204120373</v>
      </c>
      <c r="B338" s="20" t="s">
        <v>9</v>
      </c>
      <c r="C338" s="20" t="s">
        <v>203</v>
      </c>
      <c r="D338" s="24">
        <v>46198</v>
      </c>
      <c r="E338" s="25" t="s">
        <v>325</v>
      </c>
    </row>
    <row r="339" spans="1:5" ht="22.5" customHeight="1" x14ac:dyDescent="0.2">
      <c r="A339" s="3">
        <v>46198.474926504627</v>
      </c>
      <c r="B339" s="20" t="s">
        <v>46</v>
      </c>
      <c r="C339" s="20" t="s">
        <v>134</v>
      </c>
      <c r="D339" s="24">
        <v>46198</v>
      </c>
      <c r="E339" s="25" t="s">
        <v>345</v>
      </c>
    </row>
    <row r="340" spans="1:5" ht="22.5" customHeight="1" x14ac:dyDescent="0.2">
      <c r="A340" s="3">
        <v>46198.494235185186</v>
      </c>
      <c r="B340" s="20" t="s">
        <v>204</v>
      </c>
      <c r="C340" s="20" t="s">
        <v>163</v>
      </c>
      <c r="D340" s="24">
        <v>46198</v>
      </c>
      <c r="E340" s="25" t="s">
        <v>353</v>
      </c>
    </row>
    <row r="341" spans="1:5" ht="22.5" customHeight="1" x14ac:dyDescent="0.2">
      <c r="A341" s="3">
        <v>46198.522796724537</v>
      </c>
      <c r="B341" s="20" t="s">
        <v>19</v>
      </c>
      <c r="C341" s="20" t="s">
        <v>20</v>
      </c>
      <c r="D341" s="24">
        <v>46198</v>
      </c>
      <c r="E341" s="25" t="s">
        <v>330</v>
      </c>
    </row>
    <row r="342" spans="1:5" ht="22.5" customHeight="1" x14ac:dyDescent="0.2">
      <c r="A342" s="3">
        <v>46198.522889861109</v>
      </c>
      <c r="B342" s="20" t="s">
        <v>196</v>
      </c>
      <c r="C342" s="20" t="s">
        <v>10</v>
      </c>
      <c r="D342" s="24">
        <v>46198</v>
      </c>
      <c r="E342" s="25" t="s">
        <v>349</v>
      </c>
    </row>
    <row r="343" spans="1:5" ht="22.5" customHeight="1" x14ac:dyDescent="0.2">
      <c r="A343" s="3">
        <v>46198.522915127316</v>
      </c>
      <c r="B343" s="20" t="s">
        <v>36</v>
      </c>
      <c r="C343" s="20" t="s">
        <v>10</v>
      </c>
      <c r="D343" s="24">
        <v>46198</v>
      </c>
      <c r="E343" s="25" t="s">
        <v>36</v>
      </c>
    </row>
    <row r="344" spans="1:5" ht="22.5" customHeight="1" x14ac:dyDescent="0.2">
      <c r="A344" s="3">
        <v>46198.52305984954</v>
      </c>
      <c r="B344" s="20" t="s">
        <v>115</v>
      </c>
      <c r="C344" s="20" t="s">
        <v>52</v>
      </c>
      <c r="D344" s="24">
        <v>46198</v>
      </c>
      <c r="E344" s="25" t="s">
        <v>354</v>
      </c>
    </row>
    <row r="345" spans="1:5" ht="22.5" customHeight="1" x14ac:dyDescent="0.2">
      <c r="A345" s="3">
        <v>46198.523083749998</v>
      </c>
      <c r="B345" s="20" t="s">
        <v>35</v>
      </c>
      <c r="C345" s="20" t="s">
        <v>10</v>
      </c>
      <c r="D345" s="24">
        <v>46198</v>
      </c>
      <c r="E345" s="25" t="s">
        <v>340</v>
      </c>
    </row>
    <row r="346" spans="1:5" ht="22.5" customHeight="1" x14ac:dyDescent="0.2">
      <c r="A346" s="3">
        <v>46198.523111458329</v>
      </c>
      <c r="B346" s="20" t="s">
        <v>61</v>
      </c>
      <c r="C346" s="20" t="s">
        <v>4</v>
      </c>
      <c r="D346" s="24">
        <v>46198</v>
      </c>
      <c r="E346" s="25" t="s">
        <v>322</v>
      </c>
    </row>
    <row r="347" spans="1:5" ht="22.5" customHeight="1" x14ac:dyDescent="0.2">
      <c r="A347" s="3">
        <v>46198.523415474541</v>
      </c>
      <c r="B347" s="20" t="s">
        <v>205</v>
      </c>
      <c r="C347" s="20" t="s">
        <v>206</v>
      </c>
      <c r="D347" s="24">
        <v>46198</v>
      </c>
      <c r="E347" s="25" t="s">
        <v>323</v>
      </c>
    </row>
    <row r="348" spans="1:5" ht="22.5" customHeight="1" x14ac:dyDescent="0.2">
      <c r="A348" s="3">
        <v>46198.523855798616</v>
      </c>
      <c r="B348" s="20" t="s">
        <v>44</v>
      </c>
      <c r="C348" s="20" t="s">
        <v>129</v>
      </c>
      <c r="D348" s="24">
        <v>46198</v>
      </c>
      <c r="E348" s="25" t="s">
        <v>44</v>
      </c>
    </row>
    <row r="349" spans="1:5" ht="22.5" customHeight="1" x14ac:dyDescent="0.2">
      <c r="A349" s="3">
        <v>46198.523961851854</v>
      </c>
      <c r="B349" s="20" t="s">
        <v>142</v>
      </c>
      <c r="C349" s="20" t="s">
        <v>53</v>
      </c>
      <c r="D349" s="24">
        <v>46198</v>
      </c>
      <c r="E349" s="25" t="s">
        <v>142</v>
      </c>
    </row>
    <row r="350" spans="1:5" ht="22.5" customHeight="1" x14ac:dyDescent="0.2">
      <c r="A350" s="3">
        <v>46198.525113043986</v>
      </c>
      <c r="B350" s="20" t="s">
        <v>40</v>
      </c>
      <c r="C350" s="20" t="s">
        <v>10</v>
      </c>
      <c r="D350" s="24">
        <v>46198</v>
      </c>
      <c r="E350" s="25" t="s">
        <v>343</v>
      </c>
    </row>
    <row r="351" spans="1:5" ht="22.5" customHeight="1" x14ac:dyDescent="0.2">
      <c r="A351" s="3">
        <v>46198.525669143521</v>
      </c>
      <c r="B351" s="20" t="s">
        <v>22</v>
      </c>
      <c r="C351" s="20" t="s">
        <v>23</v>
      </c>
      <c r="D351" s="24">
        <v>46198</v>
      </c>
      <c r="E351" s="25" t="s">
        <v>332</v>
      </c>
    </row>
    <row r="352" spans="1:5" ht="22.5" customHeight="1" x14ac:dyDescent="0.2">
      <c r="A352" s="3">
        <v>46198.526025393519</v>
      </c>
      <c r="B352" s="20" t="s">
        <v>18</v>
      </c>
      <c r="C352" s="20" t="s">
        <v>96</v>
      </c>
      <c r="D352" s="24">
        <v>46198</v>
      </c>
      <c r="E352" s="25" t="s">
        <v>329</v>
      </c>
    </row>
    <row r="353" spans="1:5" ht="22.5" customHeight="1" x14ac:dyDescent="0.2">
      <c r="A353" s="3">
        <v>46198.52756180556</v>
      </c>
      <c r="B353" s="20" t="s">
        <v>25</v>
      </c>
      <c r="C353" s="20" t="s">
        <v>10</v>
      </c>
      <c r="D353" s="24">
        <v>46198</v>
      </c>
      <c r="E353" s="25" t="s">
        <v>334</v>
      </c>
    </row>
    <row r="354" spans="1:5" ht="22.5" customHeight="1" x14ac:dyDescent="0.2">
      <c r="A354" s="3">
        <v>46198.528556319448</v>
      </c>
      <c r="B354" s="20" t="s">
        <v>24</v>
      </c>
      <c r="C354" s="20" t="s">
        <v>6</v>
      </c>
      <c r="D354" s="24">
        <v>46198</v>
      </c>
      <c r="E354" s="25" t="s">
        <v>333</v>
      </c>
    </row>
    <row r="355" spans="1:5" ht="22.5" customHeight="1" x14ac:dyDescent="0.2">
      <c r="A355" s="3">
        <v>46198.528859976854</v>
      </c>
      <c r="B355" s="20" t="s">
        <v>207</v>
      </c>
      <c r="C355" s="20" t="s">
        <v>10</v>
      </c>
      <c r="D355" s="24">
        <v>46198</v>
      </c>
      <c r="E355" s="25" t="s">
        <v>335</v>
      </c>
    </row>
    <row r="356" spans="1:5" ht="22.5" customHeight="1" x14ac:dyDescent="0.2">
      <c r="A356" s="3">
        <v>46198.528996215275</v>
      </c>
      <c r="B356" s="20" t="s">
        <v>76</v>
      </c>
      <c r="C356" s="20" t="s">
        <v>10</v>
      </c>
      <c r="D356" s="24">
        <v>46198</v>
      </c>
      <c r="E356" s="25" t="s">
        <v>125</v>
      </c>
    </row>
    <row r="357" spans="1:5" ht="22.5" customHeight="1" x14ac:dyDescent="0.2">
      <c r="A357" s="3">
        <v>46198.528998391208</v>
      </c>
      <c r="B357" s="20" t="s">
        <v>56</v>
      </c>
      <c r="C357" s="20" t="s">
        <v>57</v>
      </c>
      <c r="D357" s="24">
        <v>46198</v>
      </c>
      <c r="E357" s="25" t="s">
        <v>324</v>
      </c>
    </row>
    <row r="358" spans="1:5" ht="22.5" customHeight="1" x14ac:dyDescent="0.2">
      <c r="A358" s="3">
        <v>46198.529022916671</v>
      </c>
      <c r="B358" s="20" t="s">
        <v>65</v>
      </c>
      <c r="C358" s="20" t="s">
        <v>183</v>
      </c>
      <c r="D358" s="24">
        <v>46198</v>
      </c>
      <c r="E358" s="25" t="s">
        <v>350</v>
      </c>
    </row>
    <row r="359" spans="1:5" ht="22.5" customHeight="1" x14ac:dyDescent="0.2">
      <c r="A359" s="3">
        <v>46198.529222743055</v>
      </c>
      <c r="B359" s="20" t="s">
        <v>21</v>
      </c>
      <c r="C359" s="20" t="s">
        <v>4</v>
      </c>
      <c r="D359" s="24">
        <v>46198</v>
      </c>
      <c r="E359" s="25" t="s">
        <v>331</v>
      </c>
    </row>
    <row r="360" spans="1:5" ht="22.5" customHeight="1" x14ac:dyDescent="0.2">
      <c r="A360" s="3">
        <v>46198.531873668981</v>
      </c>
      <c r="B360" s="20" t="s">
        <v>208</v>
      </c>
      <c r="C360" s="20" t="s">
        <v>158</v>
      </c>
      <c r="D360" s="24">
        <v>46198</v>
      </c>
      <c r="E360" s="25" t="s">
        <v>338</v>
      </c>
    </row>
    <row r="361" spans="1:5" ht="22.5" customHeight="1" x14ac:dyDescent="0.2">
      <c r="A361" s="3">
        <v>46198.532880578699</v>
      </c>
      <c r="B361" s="20" t="s">
        <v>106</v>
      </c>
      <c r="C361" s="20" t="s">
        <v>10</v>
      </c>
      <c r="D361" s="24">
        <v>46198</v>
      </c>
      <c r="E361" s="25" t="s">
        <v>339</v>
      </c>
    </row>
    <row r="362" spans="1:5" ht="22.5" customHeight="1" x14ac:dyDescent="0.2">
      <c r="A362" s="3">
        <v>46198.541265694439</v>
      </c>
      <c r="B362" s="20" t="s">
        <v>137</v>
      </c>
      <c r="C362" s="20" t="s">
        <v>138</v>
      </c>
      <c r="D362" s="24">
        <v>46198</v>
      </c>
      <c r="E362" s="25" t="s">
        <v>328</v>
      </c>
    </row>
    <row r="363" spans="1:5" ht="22.5" customHeight="1" x14ac:dyDescent="0.2">
      <c r="A363" s="4">
        <v>46198.542172442132</v>
      </c>
      <c r="B363" s="20" t="s">
        <v>49</v>
      </c>
      <c r="C363" s="20" t="s">
        <v>77</v>
      </c>
      <c r="D363" s="24">
        <v>46198</v>
      </c>
      <c r="E363" s="25" t="s">
        <v>346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Análisis de Asistencia</vt:lpstr>
      <vt:lpstr>Grupos - Producto</vt:lpstr>
      <vt:lpstr>inscritos en plataforma</vt:lpstr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Oscar Ivan Vargas Pineda</cp:lastModifiedBy>
  <dcterms:modified xsi:type="dcterms:W3CDTF">2026-06-27T15:07:47Z</dcterms:modified>
</cp:coreProperties>
</file>